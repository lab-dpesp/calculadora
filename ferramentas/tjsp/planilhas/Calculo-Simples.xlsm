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tjsp-my.sharepoint.com/personal/marceloaugusto_tjsp_jus_br/Documents/2026.10.01/PROGRAMAS INTRANET-INTERNET/Cejusc/"/>
    </mc:Choice>
  </mc:AlternateContent>
  <xr:revisionPtr revIDLastSave="983" documentId="8_{39DB4563-1659-4CBA-BD93-B5B9310FD16B}" xr6:coauthVersionLast="47" xr6:coauthVersionMax="47" xr10:uidLastSave="{51B8662E-091C-47D2-BC89-77D270D986DB}"/>
  <bookViews>
    <workbookView xWindow="28680" yWindow="-120" windowWidth="29040" windowHeight="15720" xr2:uid="{00000000-000D-0000-FFFF-FFFF00000000}"/>
  </bookViews>
  <sheets>
    <sheet name="FORMULÁRIO" sheetId="1" r:id="rId1"/>
    <sheet name="PLANILHA ONLINE" sheetId="6" r:id="rId2"/>
    <sheet name="ÍNDICES" sheetId="3" r:id="rId3"/>
    <sheet name="Fórmulas" sheetId="2" state="hidden" r:id="rId4"/>
    <sheet name="Definições" sheetId="5" state="hidden" r:id="rId5"/>
    <sheet name="Menus" sheetId="4" state="hidden" r:id="rId6"/>
    <sheet name="Menus_Online" sheetId="7" state="hidden" r:id="rId7"/>
  </sheets>
  <definedNames>
    <definedName name="_xlnm._FilterDatabase" localSheetId="2" hidden="1">ÍNDICES!$L$2:$L$2</definedName>
    <definedName name="_xleta.N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57" i="3" l="1"/>
  <c r="M756" i="3"/>
  <c r="M755" i="3"/>
  <c r="M754" i="3"/>
  <c r="M753" i="3"/>
  <c r="M752" i="3"/>
  <c r="M751" i="3"/>
  <c r="M750" i="3"/>
  <c r="M749" i="3"/>
  <c r="M748" i="3"/>
  <c r="M747" i="3"/>
  <c r="M746" i="3"/>
  <c r="M745" i="3"/>
  <c r="M744" i="3"/>
  <c r="M743" i="3"/>
  <c r="M742" i="3"/>
  <c r="M741" i="3"/>
  <c r="M740" i="3"/>
  <c r="M739" i="3"/>
  <c r="M738" i="3"/>
  <c r="M737" i="3"/>
  <c r="M736" i="3"/>
  <c r="M735" i="3"/>
  <c r="M734" i="3"/>
  <c r="M733" i="3"/>
  <c r="M732" i="3"/>
  <c r="M731" i="3"/>
  <c r="M730" i="3"/>
  <c r="M729" i="3"/>
  <c r="M728" i="3"/>
  <c r="M727" i="3"/>
  <c r="M726" i="3"/>
  <c r="M725" i="3"/>
  <c r="M724" i="3"/>
  <c r="M723" i="3"/>
  <c r="M722" i="3"/>
  <c r="M721" i="3"/>
  <c r="M720" i="3"/>
  <c r="M719" i="3"/>
  <c r="M718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9" i="3"/>
  <c r="M658" i="3"/>
  <c r="M657" i="3"/>
  <c r="M656" i="3"/>
  <c r="M655" i="3"/>
  <c r="M654" i="3"/>
  <c r="M653" i="3"/>
  <c r="M652" i="3"/>
  <c r="M651" i="3"/>
  <c r="M650" i="3"/>
  <c r="M649" i="3"/>
  <c r="M648" i="3"/>
  <c r="M647" i="3"/>
  <c r="M646" i="3"/>
  <c r="M645" i="3"/>
  <c r="M644" i="3"/>
  <c r="M643" i="3"/>
  <c r="M642" i="3"/>
  <c r="M641" i="3"/>
  <c r="M640" i="3"/>
  <c r="M639" i="3"/>
  <c r="M638" i="3"/>
  <c r="M637" i="3"/>
  <c r="M636" i="3"/>
  <c r="M635" i="3"/>
  <c r="M634" i="3"/>
  <c r="M633" i="3"/>
  <c r="M632" i="3"/>
  <c r="M631" i="3"/>
  <c r="M630" i="3"/>
  <c r="M629" i="3"/>
  <c r="M628" i="3"/>
  <c r="M627" i="3"/>
  <c r="M626" i="3"/>
  <c r="M625" i="3"/>
  <c r="M624" i="3"/>
  <c r="M623" i="3"/>
  <c r="M622" i="3"/>
  <c r="M621" i="3"/>
  <c r="M620" i="3"/>
  <c r="M619" i="3"/>
  <c r="M618" i="3"/>
  <c r="M617" i="3"/>
  <c r="M616" i="3"/>
  <c r="M615" i="3"/>
  <c r="M614" i="3"/>
  <c r="M613" i="3"/>
  <c r="M612" i="3"/>
  <c r="M611" i="3"/>
  <c r="M610" i="3"/>
  <c r="M609" i="3"/>
  <c r="M608" i="3"/>
  <c r="M607" i="3"/>
  <c r="M606" i="3"/>
  <c r="M605" i="3"/>
  <c r="M604" i="3"/>
  <c r="M603" i="3"/>
  <c r="M602" i="3"/>
  <c r="M601" i="3"/>
  <c r="M600" i="3"/>
  <c r="M599" i="3"/>
  <c r="M598" i="3"/>
  <c r="M597" i="3"/>
  <c r="M596" i="3"/>
  <c r="M595" i="3"/>
  <c r="M594" i="3"/>
  <c r="M593" i="3"/>
  <c r="M592" i="3"/>
  <c r="M591" i="3"/>
  <c r="M590" i="3"/>
  <c r="M589" i="3"/>
  <c r="M588" i="3"/>
  <c r="M587" i="3"/>
  <c r="M586" i="3"/>
  <c r="M585" i="3"/>
  <c r="M584" i="3"/>
  <c r="M583" i="3"/>
  <c r="M582" i="3"/>
  <c r="M581" i="3"/>
  <c r="M580" i="3"/>
  <c r="M579" i="3"/>
  <c r="M578" i="3"/>
  <c r="M577" i="3"/>
  <c r="M576" i="3"/>
  <c r="M575" i="3"/>
  <c r="M574" i="3"/>
  <c r="M573" i="3"/>
  <c r="M572" i="3"/>
  <c r="M571" i="3"/>
  <c r="M570" i="3"/>
  <c r="M569" i="3"/>
  <c r="M568" i="3"/>
  <c r="M567" i="3"/>
  <c r="M566" i="3"/>
  <c r="M565" i="3"/>
  <c r="M564" i="3"/>
  <c r="M563" i="3"/>
  <c r="M562" i="3"/>
  <c r="M561" i="3"/>
  <c r="M560" i="3"/>
  <c r="M559" i="3"/>
  <c r="M558" i="3"/>
  <c r="M557" i="3"/>
  <c r="M556" i="3"/>
  <c r="M555" i="3"/>
  <c r="M554" i="3"/>
  <c r="M553" i="3"/>
  <c r="M552" i="3"/>
  <c r="M551" i="3"/>
  <c r="M550" i="3"/>
  <c r="M549" i="3"/>
  <c r="M548" i="3"/>
  <c r="M547" i="3"/>
  <c r="M546" i="3"/>
  <c r="M545" i="3"/>
  <c r="M544" i="3"/>
  <c r="M543" i="3"/>
  <c r="M542" i="3"/>
  <c r="M541" i="3"/>
  <c r="M540" i="3"/>
  <c r="M539" i="3"/>
  <c r="M538" i="3"/>
  <c r="M537" i="3"/>
  <c r="M536" i="3"/>
  <c r="M535" i="3"/>
  <c r="M534" i="3"/>
  <c r="M533" i="3"/>
  <c r="M532" i="3"/>
  <c r="M531" i="3"/>
  <c r="M530" i="3"/>
  <c r="M529" i="3"/>
  <c r="M528" i="3"/>
  <c r="M527" i="3"/>
  <c r="M526" i="3"/>
  <c r="M525" i="3"/>
  <c r="M524" i="3"/>
  <c r="M523" i="3"/>
  <c r="M522" i="3"/>
  <c r="M521" i="3"/>
  <c r="M520" i="3"/>
  <c r="M519" i="3"/>
  <c r="M518" i="3"/>
  <c r="M517" i="3"/>
  <c r="M516" i="3"/>
  <c r="M515" i="3"/>
  <c r="M514" i="3"/>
  <c r="M513" i="3"/>
  <c r="M512" i="3"/>
  <c r="M511" i="3"/>
  <c r="M510" i="3"/>
  <c r="M509" i="3"/>
  <c r="M508" i="3"/>
  <c r="M507" i="3"/>
  <c r="M506" i="3"/>
  <c r="M505" i="3"/>
  <c r="M504" i="3"/>
  <c r="M503" i="3"/>
  <c r="M502" i="3"/>
  <c r="M501" i="3"/>
  <c r="M500" i="3"/>
  <c r="M499" i="3"/>
  <c r="M498" i="3"/>
  <c r="M497" i="3"/>
  <c r="M496" i="3"/>
  <c r="M495" i="3"/>
  <c r="M494" i="3"/>
  <c r="M493" i="3"/>
  <c r="M492" i="3"/>
  <c r="M491" i="3"/>
  <c r="M490" i="3"/>
  <c r="M489" i="3"/>
  <c r="M488" i="3"/>
  <c r="M487" i="3"/>
  <c r="M486" i="3"/>
  <c r="M485" i="3"/>
  <c r="M484" i="3"/>
  <c r="M483" i="3"/>
  <c r="M482" i="3"/>
  <c r="M481" i="3"/>
  <c r="M480" i="3"/>
  <c r="M479" i="3"/>
  <c r="M478" i="3"/>
  <c r="M477" i="3"/>
  <c r="M476" i="3"/>
  <c r="M475" i="3"/>
  <c r="M474" i="3"/>
  <c r="M473" i="3"/>
  <c r="M472" i="3"/>
  <c r="M471" i="3"/>
  <c r="M470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7" i="3"/>
  <c r="M456" i="3"/>
  <c r="M455" i="3"/>
  <c r="M454" i="3"/>
  <c r="M453" i="3"/>
  <c r="M452" i="3"/>
  <c r="M451" i="3"/>
  <c r="M450" i="3"/>
  <c r="M449" i="3"/>
  <c r="M448" i="3"/>
  <c r="M447" i="3"/>
  <c r="M446" i="3"/>
  <c r="M445" i="3"/>
  <c r="M444" i="3"/>
  <c r="M443" i="3"/>
  <c r="M442" i="3"/>
  <c r="M441" i="3"/>
  <c r="M440" i="3"/>
  <c r="M439" i="3"/>
  <c r="M438" i="3"/>
  <c r="M437" i="3"/>
  <c r="M436" i="3"/>
  <c r="M435" i="3"/>
  <c r="M434" i="3"/>
  <c r="M433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758" i="3"/>
  <c r="G758" i="3"/>
  <c r="G378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9" i="3" l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l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E758" i="3" l="1"/>
  <c r="E757" i="3"/>
  <c r="E756" i="3"/>
  <c r="E755" i="3"/>
  <c r="E754" i="3"/>
  <c r="E753" i="3"/>
  <c r="E752" i="3"/>
  <c r="E751" i="3"/>
  <c r="E749" i="3"/>
  <c r="E750" i="3"/>
  <c r="Q87" i="1" l="1"/>
  <c r="Q87" i="6"/>
  <c r="J88" i="6"/>
  <c r="J90" i="6" s="1"/>
  <c r="J86" i="6"/>
  <c r="P84" i="6"/>
  <c r="Q80" i="6"/>
  <c r="Q80" i="1"/>
  <c r="N8" i="4"/>
  <c r="N9" i="4" s="1"/>
  <c r="O9" i="4" s="1"/>
  <c r="P88" i="6" l="1"/>
  <c r="O8" i="4"/>
  <c r="F378" i="3"/>
  <c r="F379" i="3" s="1"/>
  <c r="F380" i="3" s="1"/>
  <c r="F381" i="3" s="1"/>
  <c r="F382" i="3" s="1"/>
  <c r="F383" i="3" s="1"/>
  <c r="F384" i="3" s="1"/>
  <c r="F385" i="3" s="1"/>
  <c r="F386" i="3" s="1"/>
  <c r="F387" i="3" s="1"/>
  <c r="F388" i="3" s="1"/>
  <c r="F389" i="3" s="1"/>
  <c r="F390" i="3" s="1"/>
  <c r="F391" i="3" s="1"/>
  <c r="F392" i="3" s="1"/>
  <c r="F393" i="3" s="1"/>
  <c r="F394" i="3" s="1"/>
  <c r="F395" i="3" s="1"/>
  <c r="F396" i="3" s="1"/>
  <c r="F397" i="3" s="1"/>
  <c r="F398" i="3" s="1"/>
  <c r="F399" i="3" s="1"/>
  <c r="F400" i="3" s="1"/>
  <c r="F401" i="3" s="1"/>
  <c r="F402" i="3" s="1"/>
  <c r="F403" i="3" s="1"/>
  <c r="F404" i="3" s="1"/>
  <c r="F405" i="3" s="1"/>
  <c r="F406" i="3" s="1"/>
  <c r="F407" i="3" s="1"/>
  <c r="F408" i="3" s="1"/>
  <c r="F409" i="3" s="1"/>
  <c r="F410" i="3" s="1"/>
  <c r="F411" i="3" s="1"/>
  <c r="F412" i="3" s="1"/>
  <c r="F413" i="3" s="1"/>
  <c r="F414" i="3" s="1"/>
  <c r="F415" i="3" s="1"/>
  <c r="F416" i="3" s="1"/>
  <c r="F417" i="3" s="1"/>
  <c r="F418" i="3" s="1"/>
  <c r="F419" i="3" s="1"/>
  <c r="F420" i="3" s="1"/>
  <c r="F421" i="3" s="1"/>
  <c r="F422" i="3" s="1"/>
  <c r="F423" i="3" s="1"/>
  <c r="F424" i="3" s="1"/>
  <c r="F425" i="3" s="1"/>
  <c r="F426" i="3" s="1"/>
  <c r="F427" i="3" s="1"/>
  <c r="F428" i="3" s="1"/>
  <c r="F429" i="3" s="1"/>
  <c r="F430" i="3" s="1"/>
  <c r="F431" i="3" s="1"/>
  <c r="F432" i="3" s="1"/>
  <c r="F433" i="3" s="1"/>
  <c r="F434" i="3" s="1"/>
  <c r="F435" i="3" s="1"/>
  <c r="F436" i="3" s="1"/>
  <c r="F437" i="3" s="1"/>
  <c r="F438" i="3" s="1"/>
  <c r="F439" i="3" s="1"/>
  <c r="F440" i="3" s="1"/>
  <c r="F441" i="3" s="1"/>
  <c r="F442" i="3" s="1"/>
  <c r="F443" i="3" s="1"/>
  <c r="F444" i="3" s="1"/>
  <c r="F445" i="3" s="1"/>
  <c r="F446" i="3" s="1"/>
  <c r="F447" i="3" s="1"/>
  <c r="F448" i="3" s="1"/>
  <c r="F449" i="3" s="1"/>
  <c r="F450" i="3" s="1"/>
  <c r="F451" i="3" s="1"/>
  <c r="F452" i="3" s="1"/>
  <c r="F453" i="3" s="1"/>
  <c r="F454" i="3" s="1"/>
  <c r="F455" i="3" s="1"/>
  <c r="F456" i="3" s="1"/>
  <c r="F457" i="3" s="1"/>
  <c r="F458" i="3" s="1"/>
  <c r="F459" i="3" s="1"/>
  <c r="F460" i="3" s="1"/>
  <c r="F461" i="3" s="1"/>
  <c r="F462" i="3" s="1"/>
  <c r="F463" i="3" s="1"/>
  <c r="F464" i="3" s="1"/>
  <c r="F465" i="3" s="1"/>
  <c r="F466" i="3" s="1"/>
  <c r="F467" i="3" s="1"/>
  <c r="F468" i="3" s="1"/>
  <c r="F469" i="3" s="1"/>
  <c r="F470" i="3" s="1"/>
  <c r="F471" i="3" s="1"/>
  <c r="F472" i="3" s="1"/>
  <c r="F473" i="3" s="1"/>
  <c r="F474" i="3" s="1"/>
  <c r="F475" i="3" s="1"/>
  <c r="F476" i="3" s="1"/>
  <c r="F477" i="3" s="1"/>
  <c r="F478" i="3" s="1"/>
  <c r="F479" i="3" s="1"/>
  <c r="F480" i="3" s="1"/>
  <c r="F481" i="3" s="1"/>
  <c r="F482" i="3" s="1"/>
  <c r="F483" i="3" s="1"/>
  <c r="F484" i="3" s="1"/>
  <c r="F485" i="3" s="1"/>
  <c r="F486" i="3" s="1"/>
  <c r="F487" i="3" s="1"/>
  <c r="F488" i="3" s="1"/>
  <c r="F489" i="3" s="1"/>
  <c r="F490" i="3" s="1"/>
  <c r="F491" i="3" s="1"/>
  <c r="F492" i="3" s="1"/>
  <c r="F493" i="3" s="1"/>
  <c r="F494" i="3" s="1"/>
  <c r="F495" i="3" s="1"/>
  <c r="F496" i="3" s="1"/>
  <c r="F497" i="3" s="1"/>
  <c r="F498" i="3" s="1"/>
  <c r="F499" i="3" s="1"/>
  <c r="F500" i="3" s="1"/>
  <c r="F501" i="3" s="1"/>
  <c r="F502" i="3" s="1"/>
  <c r="F503" i="3" s="1"/>
  <c r="F504" i="3" s="1"/>
  <c r="F505" i="3" s="1"/>
  <c r="F506" i="3" s="1"/>
  <c r="F507" i="3" s="1"/>
  <c r="F508" i="3" s="1"/>
  <c r="F509" i="3" s="1"/>
  <c r="F510" i="3" s="1"/>
  <c r="F511" i="3" s="1"/>
  <c r="F512" i="3" s="1"/>
  <c r="F513" i="3" s="1"/>
  <c r="F514" i="3" s="1"/>
  <c r="F515" i="3" s="1"/>
  <c r="F516" i="3" s="1"/>
  <c r="F517" i="3" s="1"/>
  <c r="F518" i="3" s="1"/>
  <c r="F519" i="3" s="1"/>
  <c r="F520" i="3" s="1"/>
  <c r="F521" i="3" s="1"/>
  <c r="F522" i="3" s="1"/>
  <c r="F523" i="3" s="1"/>
  <c r="F524" i="3" s="1"/>
  <c r="F525" i="3" s="1"/>
  <c r="F526" i="3" s="1"/>
  <c r="F527" i="3" s="1"/>
  <c r="F528" i="3" s="1"/>
  <c r="F529" i="3" s="1"/>
  <c r="F530" i="3" s="1"/>
  <c r="F531" i="3" s="1"/>
  <c r="F532" i="3" s="1"/>
  <c r="F533" i="3" s="1"/>
  <c r="F534" i="3" s="1"/>
  <c r="F535" i="3" s="1"/>
  <c r="F536" i="3" s="1"/>
  <c r="F537" i="3" s="1"/>
  <c r="F538" i="3" s="1"/>
  <c r="F539" i="3" s="1"/>
  <c r="F540" i="3" s="1"/>
  <c r="F541" i="3" s="1"/>
  <c r="F542" i="3" s="1"/>
  <c r="F543" i="3" s="1"/>
  <c r="F544" i="3" s="1"/>
  <c r="F545" i="3" s="1"/>
  <c r="F546" i="3" s="1"/>
  <c r="F547" i="3" s="1"/>
  <c r="F548" i="3" s="1"/>
  <c r="F549" i="3" s="1"/>
  <c r="F550" i="3" s="1"/>
  <c r="F551" i="3" s="1"/>
  <c r="F552" i="3" s="1"/>
  <c r="F553" i="3" s="1"/>
  <c r="F554" i="3" s="1"/>
  <c r="F555" i="3" s="1"/>
  <c r="F556" i="3" s="1"/>
  <c r="F557" i="3" s="1"/>
  <c r="F558" i="3" s="1"/>
  <c r="F559" i="3" s="1"/>
  <c r="F560" i="3" s="1"/>
  <c r="F561" i="3" s="1"/>
  <c r="F562" i="3" s="1"/>
  <c r="F563" i="3" s="1"/>
  <c r="F564" i="3" s="1"/>
  <c r="F565" i="3" s="1"/>
  <c r="F566" i="3" s="1"/>
  <c r="F567" i="3" s="1"/>
  <c r="F568" i="3" s="1"/>
  <c r="F569" i="3" s="1"/>
  <c r="F570" i="3" s="1"/>
  <c r="F571" i="3" s="1"/>
  <c r="F572" i="3" s="1"/>
  <c r="F573" i="3" s="1"/>
  <c r="F574" i="3" s="1"/>
  <c r="F575" i="3" s="1"/>
  <c r="F576" i="3" s="1"/>
  <c r="F577" i="3" s="1"/>
  <c r="F578" i="3" s="1"/>
  <c r="F579" i="3" s="1"/>
  <c r="F580" i="3" s="1"/>
  <c r="F581" i="3" s="1"/>
  <c r="F582" i="3" s="1"/>
  <c r="F583" i="3" s="1"/>
  <c r="F584" i="3" s="1"/>
  <c r="F585" i="3" s="1"/>
  <c r="F586" i="3" s="1"/>
  <c r="F587" i="3" s="1"/>
  <c r="F588" i="3" s="1"/>
  <c r="F589" i="3" s="1"/>
  <c r="F590" i="3" s="1"/>
  <c r="F591" i="3" s="1"/>
  <c r="F592" i="3" s="1"/>
  <c r="F593" i="3" s="1"/>
  <c r="F594" i="3" s="1"/>
  <c r="F595" i="3" s="1"/>
  <c r="F596" i="3" s="1"/>
  <c r="F597" i="3" s="1"/>
  <c r="F598" i="3" s="1"/>
  <c r="F599" i="3" s="1"/>
  <c r="F600" i="3" s="1"/>
  <c r="F601" i="3" s="1"/>
  <c r="F602" i="3" s="1"/>
  <c r="F603" i="3" s="1"/>
  <c r="F604" i="3" s="1"/>
  <c r="F605" i="3" s="1"/>
  <c r="F606" i="3" s="1"/>
  <c r="F607" i="3" s="1"/>
  <c r="F608" i="3" s="1"/>
  <c r="F609" i="3" s="1"/>
  <c r="F610" i="3" s="1"/>
  <c r="F611" i="3" s="1"/>
  <c r="F612" i="3" s="1"/>
  <c r="F613" i="3" s="1"/>
  <c r="F614" i="3" s="1"/>
  <c r="F615" i="3" s="1"/>
  <c r="F616" i="3" s="1"/>
  <c r="F617" i="3" s="1"/>
  <c r="F618" i="3" s="1"/>
  <c r="F619" i="3" s="1"/>
  <c r="F620" i="3" s="1"/>
  <c r="F621" i="3" s="1"/>
  <c r="F622" i="3" s="1"/>
  <c r="F623" i="3" s="1"/>
  <c r="F624" i="3" s="1"/>
  <c r="F625" i="3" s="1"/>
  <c r="F626" i="3" s="1"/>
  <c r="F627" i="3" s="1"/>
  <c r="F628" i="3" s="1"/>
  <c r="F629" i="3" s="1"/>
  <c r="F630" i="3" s="1"/>
  <c r="F631" i="3" s="1"/>
  <c r="F632" i="3" s="1"/>
  <c r="F633" i="3" s="1"/>
  <c r="F634" i="3" s="1"/>
  <c r="F635" i="3" s="1"/>
  <c r="F636" i="3" s="1"/>
  <c r="F637" i="3" s="1"/>
  <c r="F638" i="3" s="1"/>
  <c r="F639" i="3" s="1"/>
  <c r="F640" i="3" s="1"/>
  <c r="F641" i="3" s="1"/>
  <c r="F642" i="3" s="1"/>
  <c r="F643" i="3" s="1"/>
  <c r="F644" i="3" s="1"/>
  <c r="F645" i="3" s="1"/>
  <c r="F646" i="3" s="1"/>
  <c r="F647" i="3" s="1"/>
  <c r="F648" i="3" s="1"/>
  <c r="F649" i="3" s="1"/>
  <c r="F650" i="3" s="1"/>
  <c r="F651" i="3" s="1"/>
  <c r="F652" i="3" s="1"/>
  <c r="F653" i="3" s="1"/>
  <c r="F654" i="3" s="1"/>
  <c r="F655" i="3" s="1"/>
  <c r="F656" i="3" s="1"/>
  <c r="F657" i="3" s="1"/>
  <c r="F658" i="3" s="1"/>
  <c r="F659" i="3" s="1"/>
  <c r="F660" i="3" s="1"/>
  <c r="F661" i="3" s="1"/>
  <c r="F662" i="3" s="1"/>
  <c r="F663" i="3" s="1"/>
  <c r="F664" i="3" s="1"/>
  <c r="F665" i="3" s="1"/>
  <c r="F666" i="3" s="1"/>
  <c r="F667" i="3" s="1"/>
  <c r="F668" i="3" s="1"/>
  <c r="F669" i="3" s="1"/>
  <c r="F670" i="3" s="1"/>
  <c r="F671" i="3" s="1"/>
  <c r="F672" i="3" s="1"/>
  <c r="F673" i="3" s="1"/>
  <c r="F674" i="3" s="1"/>
  <c r="F675" i="3" s="1"/>
  <c r="F676" i="3" s="1"/>
  <c r="F677" i="3" s="1"/>
  <c r="F678" i="3" s="1"/>
  <c r="F679" i="3" s="1"/>
  <c r="F680" i="3" s="1"/>
  <c r="F681" i="3" s="1"/>
  <c r="F682" i="3" s="1"/>
  <c r="F683" i="3" s="1"/>
  <c r="F684" i="3" s="1"/>
  <c r="F685" i="3" s="1"/>
  <c r="F686" i="3" s="1"/>
  <c r="F687" i="3" s="1"/>
  <c r="F688" i="3" s="1"/>
  <c r="F689" i="3" s="1"/>
  <c r="F690" i="3" s="1"/>
  <c r="F691" i="3" s="1"/>
  <c r="F692" i="3" s="1"/>
  <c r="F693" i="3" s="1"/>
  <c r="F694" i="3" s="1"/>
  <c r="F695" i="3" s="1"/>
  <c r="F696" i="3" s="1"/>
  <c r="F697" i="3" s="1"/>
  <c r="F698" i="3" s="1"/>
  <c r="F699" i="3" s="1"/>
  <c r="F700" i="3" s="1"/>
  <c r="F701" i="3" s="1"/>
  <c r="F702" i="3" s="1"/>
  <c r="F703" i="3" s="1"/>
  <c r="F704" i="3" s="1"/>
  <c r="F705" i="3" s="1"/>
  <c r="F706" i="3" s="1"/>
  <c r="F707" i="3" s="1"/>
  <c r="F708" i="3" s="1"/>
  <c r="F709" i="3" s="1"/>
  <c r="F710" i="3" s="1"/>
  <c r="F711" i="3" s="1"/>
  <c r="F712" i="3" s="1"/>
  <c r="F713" i="3" s="1"/>
  <c r="F714" i="3" s="1"/>
  <c r="F715" i="3" s="1"/>
  <c r="F716" i="3" s="1"/>
  <c r="F717" i="3" s="1"/>
  <c r="F718" i="3" s="1"/>
  <c r="F719" i="3" s="1"/>
  <c r="F720" i="3" s="1"/>
  <c r="F721" i="3" s="1"/>
  <c r="F722" i="3" s="1"/>
  <c r="F723" i="3" s="1"/>
  <c r="F724" i="3" s="1"/>
  <c r="F725" i="3" s="1"/>
  <c r="F726" i="3" s="1"/>
  <c r="F727" i="3" s="1"/>
  <c r="F728" i="3" s="1"/>
  <c r="F729" i="3" s="1"/>
  <c r="F730" i="3" s="1"/>
  <c r="F731" i="3" s="1"/>
  <c r="F732" i="3" s="1"/>
  <c r="F733" i="3" s="1"/>
  <c r="F734" i="3" s="1"/>
  <c r="F735" i="3" s="1"/>
  <c r="F736" i="3" s="1"/>
  <c r="F737" i="3" s="1"/>
  <c r="F738" i="3" s="1"/>
  <c r="F739" i="3" s="1"/>
  <c r="F740" i="3" s="1"/>
  <c r="F741" i="3" s="1"/>
  <c r="F742" i="3" s="1"/>
  <c r="F743" i="3" s="1"/>
  <c r="F744" i="3" s="1"/>
  <c r="F745" i="3" s="1"/>
  <c r="F746" i="3" s="1"/>
  <c r="F747" i="3" s="1"/>
  <c r="F748" i="3" s="1"/>
  <c r="F749" i="3" s="1"/>
  <c r="F750" i="3" s="1"/>
  <c r="F751" i="3" s="1"/>
  <c r="F752" i="3" s="1"/>
  <c r="F753" i="3" s="1"/>
  <c r="F754" i="3" s="1"/>
  <c r="F755" i="3" s="1"/>
  <c r="F756" i="3" s="1"/>
  <c r="F757" i="3" s="1"/>
  <c r="F758" i="3" s="1"/>
  <c r="M20" i="6" l="1"/>
  <c r="E4" i="7"/>
  <c r="E3" i="7"/>
  <c r="D9" i="7"/>
  <c r="E9" i="7" s="1"/>
  <c r="D8" i="7"/>
  <c r="E8" i="7" s="1"/>
  <c r="D7" i="7"/>
  <c r="E7" i="7" s="1"/>
  <c r="D6" i="7"/>
  <c r="E6" i="7" s="1"/>
  <c r="J11" i="7"/>
  <c r="J10" i="7"/>
  <c r="I8" i="7"/>
  <c r="J8" i="7" s="1"/>
  <c r="H3" i="7"/>
  <c r="N2" i="7"/>
  <c r="O2" i="7" s="1"/>
  <c r="I2" i="7"/>
  <c r="J2" i="7" s="1"/>
  <c r="R73" i="6"/>
  <c r="P73" i="6"/>
  <c r="C73" i="6"/>
  <c r="R71" i="6"/>
  <c r="P71" i="6"/>
  <c r="R69" i="6"/>
  <c r="P69" i="6"/>
  <c r="R67" i="6"/>
  <c r="P67" i="6"/>
  <c r="R65" i="6"/>
  <c r="P65" i="6"/>
  <c r="R63" i="6"/>
  <c r="P63" i="6"/>
  <c r="G63" i="6"/>
  <c r="R61" i="6"/>
  <c r="P61" i="6"/>
  <c r="G61" i="6"/>
  <c r="R59" i="6"/>
  <c r="P59" i="6"/>
  <c r="C59" i="6"/>
  <c r="R57" i="6"/>
  <c r="P57" i="6"/>
  <c r="C57" i="6"/>
  <c r="R55" i="6"/>
  <c r="P55" i="6"/>
  <c r="R53" i="6"/>
  <c r="P53" i="6"/>
  <c r="C53" i="6"/>
  <c r="R51" i="6"/>
  <c r="P51" i="6"/>
  <c r="R49" i="6"/>
  <c r="P49" i="6"/>
  <c r="R47" i="6"/>
  <c r="P47" i="6"/>
  <c r="C47" i="6"/>
  <c r="R45" i="6"/>
  <c r="P45" i="6"/>
  <c r="C45" i="6"/>
  <c r="R43" i="6"/>
  <c r="P43" i="6"/>
  <c r="C43" i="6"/>
  <c r="Q24" i="6"/>
  <c r="G20" i="6"/>
  <c r="C15" i="6"/>
  <c r="F10" i="6"/>
  <c r="E10" i="6"/>
  <c r="K732" i="3"/>
  <c r="J732" i="3"/>
  <c r="E10" i="1"/>
  <c r="D9" i="4"/>
  <c r="E9" i="4" s="1"/>
  <c r="I3" i="7" l="1"/>
  <c r="J3" i="7" s="1"/>
  <c r="I9" i="7"/>
  <c r="J9" i="7" s="1"/>
  <c r="B6" i="7"/>
  <c r="M14" i="6"/>
  <c r="C22" i="6"/>
  <c r="G22" i="6"/>
  <c r="M26" i="6"/>
  <c r="M16" i="6"/>
  <c r="M18" i="6"/>
  <c r="C24" i="6"/>
  <c r="Q76" i="6"/>
  <c r="E10" i="7"/>
  <c r="E5" i="7"/>
  <c r="N3" i="7"/>
  <c r="O3" i="7" s="1"/>
  <c r="R75" i="6"/>
  <c r="Q75" i="6" s="1"/>
  <c r="D8" i="4"/>
  <c r="E8" i="4" s="1"/>
  <c r="D7" i="4"/>
  <c r="E7" i="4" s="1"/>
  <c r="D6" i="4"/>
  <c r="Q20" i="6" l="1"/>
  <c r="G732" i="3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E6" i="4"/>
  <c r="M20" i="1"/>
  <c r="G71" i="6"/>
  <c r="Q18" i="6"/>
  <c r="M10" i="6"/>
  <c r="M8" i="6"/>
  <c r="M22" i="6"/>
  <c r="C20" i="6"/>
  <c r="C18" i="6"/>
  <c r="C16" i="6"/>
  <c r="G10" i="6"/>
  <c r="C8" i="6"/>
  <c r="C26" i="6"/>
  <c r="M18" i="1"/>
  <c r="Q18" i="1" s="1"/>
  <c r="P73" i="1"/>
  <c r="P71" i="1"/>
  <c r="P69" i="1"/>
  <c r="P67" i="1"/>
  <c r="P65" i="1"/>
  <c r="P63" i="1"/>
  <c r="P61" i="1"/>
  <c r="G61" i="1"/>
  <c r="P59" i="1"/>
  <c r="P57" i="1"/>
  <c r="P55" i="1"/>
  <c r="P53" i="1"/>
  <c r="P51" i="1"/>
  <c r="P49" i="1"/>
  <c r="P47" i="1"/>
  <c r="P45" i="1"/>
  <c r="P43" i="1"/>
  <c r="G752" i="3" l="1"/>
  <c r="G753" i="3" s="1"/>
  <c r="G754" i="3" s="1"/>
  <c r="G755" i="3" s="1"/>
  <c r="G76" i="6"/>
  <c r="G20" i="1"/>
  <c r="R43" i="1"/>
  <c r="F10" i="1"/>
  <c r="M26" i="1" l="1"/>
  <c r="G22" i="1"/>
  <c r="M16" i="1" l="1"/>
  <c r="C22" i="1"/>
  <c r="M14" i="1"/>
  <c r="C24" i="1"/>
  <c r="E10" i="4"/>
  <c r="G24" i="6" l="1"/>
  <c r="G26" i="6" s="1"/>
  <c r="M24" i="6"/>
  <c r="M10" i="1"/>
  <c r="G10" i="1"/>
  <c r="J86" i="1"/>
  <c r="J88" i="1"/>
  <c r="J90" i="1" s="1"/>
  <c r="J11" i="4" l="1"/>
  <c r="J10" i="4"/>
  <c r="I8" i="4"/>
  <c r="I9" i="4" s="1"/>
  <c r="J9" i="4" s="1"/>
  <c r="J8" i="4" l="1"/>
  <c r="P88" i="1"/>
  <c r="C47" i="1"/>
  <c r="C53" i="1"/>
  <c r="I2" i="4"/>
  <c r="Q24" i="1"/>
  <c r="Q20" i="1" s="1"/>
  <c r="C43" i="1"/>
  <c r="G756" i="3" l="1"/>
  <c r="G757" i="3" s="1"/>
  <c r="G3" i="3"/>
  <c r="Q26" i="6"/>
  <c r="N2" i="4"/>
  <c r="N3" i="4" s="1"/>
  <c r="O3" i="4" s="1"/>
  <c r="K32" i="6" l="1"/>
  <c r="J80" i="6" s="1"/>
  <c r="J82" i="6" s="1"/>
  <c r="F32" i="6"/>
  <c r="O2" i="4"/>
  <c r="I3" i="4"/>
  <c r="J3" i="4" s="1"/>
  <c r="P84" i="1"/>
  <c r="J92" i="6" l="1"/>
  <c r="P82" i="6" s="1"/>
  <c r="E92" i="6"/>
  <c r="G43" i="6"/>
  <c r="C15" i="1"/>
  <c r="G47" i="6" l="1"/>
  <c r="C39" i="6"/>
  <c r="B25" i="2"/>
  <c r="C25" i="2" s="1"/>
  <c r="B24" i="2"/>
  <c r="C24" i="2" s="1"/>
  <c r="B23" i="2"/>
  <c r="C23" i="2" s="1"/>
  <c r="B22" i="2"/>
  <c r="C22" i="2" s="1"/>
  <c r="B21" i="2"/>
  <c r="C21" i="2" s="1"/>
  <c r="B20" i="2"/>
  <c r="C20" i="2" s="1"/>
  <c r="B19" i="2"/>
  <c r="C19" i="2" s="1"/>
  <c r="B18" i="2"/>
  <c r="C18" i="2" s="1"/>
  <c r="B17" i="2"/>
  <c r="C17" i="2" s="1"/>
  <c r="B16" i="2"/>
  <c r="C16" i="2" s="1"/>
  <c r="B15" i="2"/>
  <c r="C15" i="2" s="1"/>
  <c r="B14" i="2"/>
  <c r="C14" i="2" s="1"/>
  <c r="B13" i="2"/>
  <c r="C13" i="2" s="1"/>
  <c r="B12" i="2"/>
  <c r="C12" i="2" s="1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B11" i="2"/>
  <c r="C11" i="2" s="1"/>
  <c r="C73" i="1" l="1"/>
  <c r="D7" i="2" l="1"/>
  <c r="B7" i="2"/>
  <c r="C57" i="1"/>
  <c r="C59" i="1"/>
  <c r="H3" i="4"/>
  <c r="C45" i="1"/>
  <c r="D3" i="2"/>
  <c r="B3" i="2"/>
  <c r="E2" i="5"/>
  <c r="F2" i="5" s="1"/>
  <c r="E3" i="4"/>
  <c r="E5" i="4" s="1"/>
  <c r="E4" i="4"/>
  <c r="G24" i="1" l="1"/>
  <c r="C7" i="2"/>
  <c r="E3" i="2"/>
  <c r="E7" i="2"/>
  <c r="C3" i="2"/>
  <c r="E12" i="2"/>
  <c r="E21" i="2"/>
  <c r="E18" i="2"/>
  <c r="E15" i="2"/>
  <c r="E23" i="2"/>
  <c r="E14" i="2"/>
  <c r="E24" i="2"/>
  <c r="E25" i="2"/>
  <c r="E22" i="2"/>
  <c r="E19" i="2"/>
  <c r="E16" i="2"/>
  <c r="E17" i="2"/>
  <c r="E13" i="2"/>
  <c r="E20" i="2"/>
  <c r="E11" i="2"/>
  <c r="J2" i="4"/>
  <c r="H2" i="5"/>
  <c r="I2" i="5" s="1"/>
  <c r="G2" i="5"/>
  <c r="J2" i="5"/>
  <c r="G26" i="1" l="1"/>
  <c r="G63" i="1"/>
  <c r="M22" i="1"/>
  <c r="M24" i="1" s="1"/>
  <c r="C26" i="1"/>
  <c r="C20" i="1"/>
  <c r="C18" i="1"/>
  <c r="C16" i="1"/>
  <c r="M8" i="1"/>
  <c r="C8" i="1"/>
  <c r="R73" i="1"/>
  <c r="R65" i="1"/>
  <c r="R57" i="1"/>
  <c r="R49" i="1"/>
  <c r="R71" i="1"/>
  <c r="R63" i="1"/>
  <c r="R55" i="1"/>
  <c r="R47" i="1"/>
  <c r="R67" i="1"/>
  <c r="R51" i="1"/>
  <c r="R69" i="1"/>
  <c r="R61" i="1"/>
  <c r="R53" i="1"/>
  <c r="R45" i="1"/>
  <c r="R59" i="1"/>
  <c r="K2" i="5"/>
  <c r="G71" i="1" l="1"/>
  <c r="G76" i="1" s="1"/>
  <c r="Q76" i="1"/>
  <c r="R75" i="1"/>
  <c r="Q75" i="1" s="1"/>
  <c r="Q26" i="1" l="1"/>
  <c r="K32" i="1" l="1"/>
  <c r="F32" i="1"/>
  <c r="G43" i="1" l="1"/>
  <c r="J80" i="1"/>
  <c r="J82" i="1" s="1"/>
  <c r="C39" i="1" l="1"/>
  <c r="G47" i="1"/>
  <c r="E92" i="1"/>
  <c r="J92" i="1"/>
  <c r="P8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0B99A6-DB21-4639-A946-C1F8375CAED8}" keepAlive="1" name="Consulta - TabelaCalculo" description="Conexão com a consulta 'TabelaCalculo' na pasta de trabalho." type="5" refreshedVersion="8" background="1" saveData="1">
    <dbPr connection="Provider=Microsoft.Mashup.OleDb.1;Data Source=$Workbook$;Location=TabelaCalculo;Extended Properties=&quot;&quot;" command="SELECT * FROM [TabelaCalculo]"/>
  </connection>
  <connection id="2" xr16:uid="{8C92FEEC-1BB1-476F-B9D9-911AB2EA5767}" keepAlive="1" name="Consulta - TabelaCalculo (2)" description="Conexão com a consulta 'TabelaCalculo (2)' na pasta de trabalho." type="5" refreshedVersion="8" background="1" saveData="1">
    <dbPr connection="Provider=Microsoft.Mashup.OleDb.1;Data Source=$Workbook$;Location=&quot;TabelaCalculo (2)&quot;;Extended Properties=&quot;&quot;" command="SELECT * FROM [TabelaCalculo (2)]"/>
  </connection>
</connections>
</file>

<file path=xl/sharedStrings.xml><?xml version="1.0" encoding="utf-8"?>
<sst xmlns="http://schemas.openxmlformats.org/spreadsheetml/2006/main" count="185" uniqueCount="104">
  <si>
    <t>CÁLCULO DE LIQUIDAÇÃO EM GERAL</t>
  </si>
  <si>
    <t xml:space="preserve"> </t>
  </si>
  <si>
    <t>Sim</t>
  </si>
  <si>
    <t>HONORÁRIOS ADVOCATÍCIOS</t>
  </si>
  <si>
    <t>CUSTAS E DESPESAS PROCESSUAIS</t>
  </si>
  <si>
    <t>Data Inicial</t>
  </si>
  <si>
    <t>Folha</t>
  </si>
  <si>
    <t>Índice</t>
  </si>
  <si>
    <t>Valor Original</t>
  </si>
  <si>
    <t>Valor Corrigido</t>
  </si>
  <si>
    <t xml:space="preserve">                  </t>
  </si>
  <si>
    <t xml:space="preserve">             </t>
  </si>
  <si>
    <t>Índice Aplicado</t>
  </si>
  <si>
    <t>Há Juros Legais?</t>
  </si>
  <si>
    <t>Data do trânsito</t>
  </si>
  <si>
    <t>Juros Corrigidos</t>
  </si>
  <si>
    <t>Subtotal:</t>
  </si>
  <si>
    <t>Computar Multa do §1º do art. 523 do CPC?</t>
  </si>
  <si>
    <t>Não</t>
  </si>
  <si>
    <t>Valor da Multa do §1º do art. 523 do CPC</t>
  </si>
  <si>
    <t>Computar Honorários do §1º do art. 523 do CPC?</t>
  </si>
  <si>
    <t>Valor dos Honorários do §1º do art. 523 do CPC</t>
  </si>
  <si>
    <t>Planilha de Cálculos Judiciais desenvolvida pelo Tribunal de Justiça do Estado de São Paulo</t>
  </si>
  <si>
    <t>CÁLCULO DO VALOR CORRIGIDO DA CORREÇÃO MONETÁRIA</t>
  </si>
  <si>
    <t>Mês Inicial</t>
  </si>
  <si>
    <t>Valor Inicial</t>
  </si>
  <si>
    <t>Mês Final</t>
  </si>
  <si>
    <t>Valor Final</t>
  </si>
  <si>
    <t>CÁLCULO DOS HONORÁRIOS PELO VALOR DA CAUSA E ARBITRADO</t>
  </si>
  <si>
    <t>CÁLCULO DAS CUSTAS E DESPESAS PROCERSSUAIS</t>
  </si>
  <si>
    <t>Linha</t>
  </si>
  <si>
    <t>CAMPO</t>
  </si>
  <si>
    <t>PESQUISA</t>
  </si>
  <si>
    <t>ANO</t>
  </si>
  <si>
    <t>MÊS</t>
  </si>
  <si>
    <t>UFESP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</si>
  <si>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</si>
  <si>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</si>
  <si>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</si>
  <si>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</si>
  <si>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</si>
  <si>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</si>
  <si>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</si>
  <si>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</si>
  <si>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</si>
  <si>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</si>
  <si>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</si>
  <si>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</si>
  <si>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LINHA</t>
  </si>
  <si>
    <t>HOJE</t>
  </si>
  <si>
    <t>MÊS ATUAL</t>
  </si>
  <si>
    <t>MÊS ANTERIOR</t>
  </si>
  <si>
    <t>Menus Dinâmico dos Honorários</t>
  </si>
  <si>
    <t>Menus da Multa</t>
  </si>
  <si>
    <t>Honorários Advocatícios</t>
  </si>
  <si>
    <t>Custas e Despesas Processuais</t>
  </si>
  <si>
    <t>Valor da Condenação</t>
  </si>
  <si>
    <t>Multa sobre Valor Corrigido (%)</t>
  </si>
  <si>
    <t>Outra Forma de Cálculo</t>
  </si>
  <si>
    <t>Multa sobre Valor Corrigido + Juros (%)</t>
  </si>
  <si>
    <t>Menus Dinâmico da Taxa Judiciária</t>
  </si>
  <si>
    <t>1,5% - Distribuição - L. 11608/03, art. 4º, I</t>
  </si>
  <si>
    <t>2% - Execução de Título Extrajudicial - L. 11.608/03, art. 4º, III</t>
  </si>
  <si>
    <t>2% - Cumprimento de Sentença - L. 11.608/03, art. 4º, IV</t>
  </si>
  <si>
    <t>1% - Satisfação Execução - L. 11608/03, art. 4º, III, antes L. 17.785/23</t>
  </si>
  <si>
    <t>SELIC</t>
  </si>
  <si>
    <t>SELECIONE OS ITENS DO CÁLCULO</t>
  </si>
  <si>
    <t>CORREÇÃO MONETÁRIA - TABELA PRÁTICA</t>
  </si>
  <si>
    <t>SELIC ACUMULADA</t>
  </si>
  <si>
    <t>PRINCIPAL:</t>
  </si>
  <si>
    <t>CÁLCULO:</t>
  </si>
  <si>
    <t>JRS._FIXOS</t>
  </si>
  <si>
    <t>0000000-00.2024.8.26.0000</t>
  </si>
  <si>
    <t>DATA</t>
  </si>
  <si>
    <t>Valor dos Honorários</t>
  </si>
  <si>
    <t>Coluna1</t>
  </si>
  <si>
    <t>Coluna2</t>
  </si>
  <si>
    <t>INPC</t>
  </si>
  <si>
    <t>PREENCHA OS CAMPOS EM BRANCO</t>
  </si>
  <si>
    <t>SELIC MENOS CORREÇÃO</t>
  </si>
  <si>
    <t>IPCA-15</t>
  </si>
  <si>
    <t>INPC + IPCA-15</t>
  </si>
  <si>
    <t>Juros ao mês</t>
  </si>
  <si>
    <t>Taxa Legal</t>
  </si>
  <si>
    <t>1% a.m.</t>
  </si>
  <si>
    <t>Indexador</t>
  </si>
  <si>
    <t>Tabela Prática até data a especificar, e depois Selic para correção e juros</t>
  </si>
  <si>
    <t>Tabela Prática mais juros iguais a Selic menos correção</t>
  </si>
  <si>
    <t>TPTJ mais jrs. fixos até ago/24, depois iguais a Selic menos correção (CC/02, arts. 389 e 406)</t>
  </si>
  <si>
    <t>Tabela Prática e Juros Fixos</t>
  </si>
  <si>
    <t>Clicar à direita para selecione regras de correção e juros:</t>
  </si>
  <si>
    <t>Responder se há Honorários Advocatícios:</t>
  </si>
  <si>
    <t>Responder se há Custas e Despesas:</t>
  </si>
  <si>
    <t>sim</t>
  </si>
  <si>
    <t>não</t>
  </si>
  <si>
    <t>BACEN-SÉRIE 29541</t>
  </si>
  <si>
    <t>Taxa Judiciária (5 a 3.000 UFESPs):</t>
  </si>
  <si>
    <t>incluir taxa judiciária</t>
  </si>
  <si>
    <t>sem a taxa judiciária</t>
  </si>
  <si>
    <t>UFESP:</t>
  </si>
  <si>
    <t>Nos processos em tramitação no eproc, a guia de recolhimento é gerada diretamente no sistema.</t>
  </si>
  <si>
    <t>Tab. Prát. L. 14.905</t>
  </si>
  <si>
    <t>BACEN-SÉRIE 29543</t>
  </si>
  <si>
    <t>BACEN-SÉRIE 29544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</si>
</sst>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0.000000"/>
    <numFmt numFmtId="165" formatCode="&quot;R$&quot;\ #,##0.00"/>
    <numFmt numFmtId="166" formatCode="#,##0.000000"/>
    <numFmt numFmtId="167" formatCode="#,##0.0000"/>
    <numFmt numFmtId="168" formatCode="mmm/yyyy"/>
    <numFmt numFmtId="169" formatCode="0.000000%"/>
    <numFmt numFmtId="170" formatCode="#,##0.00000000"/>
    <numFmt numFmtId="171" formatCode="####"/>
    <numFmt numFmtId="172" formatCode="0.00000000%"/>
    <numFmt numFmtId="173" formatCode="0.00000000"/>
    <numFmt numFmtId="174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BF2D1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theme="1"/>
      <name val="Bahnschrift Light Condensed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u/>
      <sz val="8"/>
      <color theme="1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B0C4DE"/>
      <name val="Calibri"/>
      <family val="2"/>
      <scheme val="minor"/>
    </font>
    <font>
      <b/>
      <sz val="8"/>
      <color rgb="FFBF2D1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7B8F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BED3F8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BF2D19"/>
      </left>
      <right/>
      <top style="medium">
        <color rgb="FFBF2D19"/>
      </top>
      <bottom style="medium">
        <color rgb="FFBF2D19"/>
      </bottom>
      <diagonal/>
    </border>
    <border>
      <left/>
      <right/>
      <top style="medium">
        <color rgb="FFBF2D19"/>
      </top>
      <bottom style="medium">
        <color rgb="FFBF2D19"/>
      </bottom>
      <diagonal/>
    </border>
    <border>
      <left/>
      <right style="medium">
        <color rgb="FFBF2D19"/>
      </right>
      <top style="medium">
        <color rgb="FFBF2D19"/>
      </top>
      <bottom style="medium">
        <color rgb="FFBF2D19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/>
    <xf numFmtId="0" fontId="15" fillId="0" borderId="0" applyNumberFormat="0" applyFill="0" applyBorder="0" applyAlignment="0" applyProtection="0"/>
    <xf numFmtId="174" fontId="25" fillId="0" borderId="0" applyFont="0" applyFill="0" applyBorder="0" applyAlignment="0" applyProtection="0"/>
  </cellStyleXfs>
  <cellXfs count="183">
    <xf numFmtId="0" fontId="0" fillId="0" borderId="0" xfId="0"/>
    <xf numFmtId="0" fontId="0" fillId="3" borderId="0" xfId="0" applyFill="1"/>
    <xf numFmtId="0" fontId="0" fillId="5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16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Protection="1">
      <protection hidden="1"/>
    </xf>
    <xf numFmtId="0" fontId="1" fillId="3" borderId="0" xfId="0" applyFont="1" applyFill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4" borderId="0" xfId="0" applyFill="1" applyAlignment="1" applyProtection="1">
      <alignment vertical="center"/>
      <protection hidden="1"/>
    </xf>
    <xf numFmtId="0" fontId="2" fillId="4" borderId="0" xfId="0" applyFont="1" applyFill="1" applyAlignment="1" applyProtection="1">
      <alignment vertical="center"/>
      <protection hidden="1"/>
    </xf>
    <xf numFmtId="0" fontId="0" fillId="4" borderId="0" xfId="0" applyFill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4" borderId="0" xfId="0" quotePrefix="1" applyFill="1" applyProtection="1">
      <protection hidden="1"/>
    </xf>
    <xf numFmtId="0" fontId="0" fillId="9" borderId="1" xfId="0" applyFill="1" applyBorder="1" applyAlignment="1" applyProtection="1">
      <alignment horizontal="left" vertical="center"/>
      <protection locked="0" hidden="1"/>
    </xf>
    <xf numFmtId="0" fontId="0" fillId="9" borderId="1" xfId="0" applyFill="1" applyBorder="1" applyAlignment="1" applyProtection="1">
      <alignment horizontal="left" vertical="center"/>
      <protection hidden="1"/>
    </xf>
    <xf numFmtId="165" fontId="0" fillId="9" borderId="1" xfId="0" applyNumberFormat="1" applyFill="1" applyBorder="1" applyAlignment="1" applyProtection="1">
      <alignment horizontal="left" vertical="center"/>
      <protection locked="0" hidden="1"/>
    </xf>
    <xf numFmtId="165" fontId="2" fillId="4" borderId="1" xfId="0" applyNumberFormat="1" applyFont="1" applyFill="1" applyBorder="1" applyAlignment="1" applyProtection="1">
      <alignment horizontal="left" vertical="center"/>
      <protection hidden="1"/>
    </xf>
    <xf numFmtId="165" fontId="0" fillId="4" borderId="0" xfId="0" applyNumberFormat="1" applyFill="1" applyAlignment="1" applyProtection="1">
      <alignment horizontal="left" vertical="center"/>
      <protection hidden="1"/>
    </xf>
    <xf numFmtId="165" fontId="2" fillId="4" borderId="0" xfId="0" applyNumberFormat="1" applyFont="1" applyFill="1" applyAlignment="1" applyProtection="1">
      <alignment horizontal="left" vertical="center"/>
      <protection hidden="1"/>
    </xf>
    <xf numFmtId="0" fontId="2" fillId="4" borderId="0" xfId="0" applyFont="1" applyFill="1" applyAlignment="1" applyProtection="1">
      <alignment horizontal="left" vertical="center"/>
      <protection hidden="1"/>
    </xf>
    <xf numFmtId="165" fontId="2" fillId="4" borderId="0" xfId="0" applyNumberFormat="1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left" vertical="center"/>
      <protection locked="0" hidden="1"/>
    </xf>
    <xf numFmtId="165" fontId="0" fillId="4" borderId="0" xfId="0" applyNumberFormat="1" applyFill="1" applyAlignment="1" applyProtection="1">
      <alignment horizontal="left" vertical="center"/>
      <protection locked="0" hidden="1"/>
    </xf>
    <xf numFmtId="0" fontId="4" fillId="4" borderId="0" xfId="0" applyFont="1" applyFill="1" applyAlignment="1" applyProtection="1">
      <alignment horizontal="center" vertical="center"/>
      <protection hidden="1"/>
    </xf>
    <xf numFmtId="14" fontId="0" fillId="4" borderId="0" xfId="0" applyNumberFormat="1" applyFill="1" applyProtection="1">
      <protection hidden="1"/>
    </xf>
    <xf numFmtId="165" fontId="2" fillId="4" borderId="0" xfId="0" applyNumberFormat="1" applyFont="1" applyFill="1" applyAlignment="1" applyProtection="1">
      <alignment horizontal="left" vertical="center" wrapText="1"/>
      <protection hidden="1"/>
    </xf>
    <xf numFmtId="0" fontId="4" fillId="4" borderId="12" xfId="0" applyFont="1" applyFill="1" applyBorder="1" applyAlignment="1" applyProtection="1">
      <alignment horizontal="left" vertical="center" indent="1"/>
      <protection hidden="1"/>
    </xf>
    <xf numFmtId="0" fontId="6" fillId="4" borderId="0" xfId="0" applyFont="1" applyFill="1" applyAlignment="1" applyProtection="1">
      <alignment horizontal="left" vertical="center" indent="1"/>
      <protection hidden="1"/>
    </xf>
    <xf numFmtId="0" fontId="7" fillId="0" borderId="0" xfId="0" applyFont="1" applyProtection="1">
      <protection hidden="1"/>
    </xf>
    <xf numFmtId="165" fontId="0" fillId="0" borderId="0" xfId="0" applyNumberFormat="1" applyAlignment="1" applyProtection="1">
      <alignment vertical="center"/>
      <protection hidden="1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0" fontId="0" fillId="5" borderId="0" xfId="0" applyFill="1" applyAlignment="1">
      <alignment horizontal="left"/>
    </xf>
    <xf numFmtId="0" fontId="9" fillId="4" borderId="0" xfId="0" applyFont="1" applyFill="1" applyAlignment="1" applyProtection="1">
      <alignment horizontal="right" vertical="center"/>
      <protection hidden="1"/>
    </xf>
    <xf numFmtId="0" fontId="10" fillId="4" borderId="0" xfId="0" applyFont="1" applyFill="1" applyAlignment="1" applyProtection="1">
      <alignment horizontal="right" vertical="center"/>
      <protection hidden="1"/>
    </xf>
    <xf numFmtId="0" fontId="11" fillId="4" borderId="0" xfId="0" applyFont="1" applyFill="1" applyAlignment="1" applyProtection="1">
      <alignment horizontal="right"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4" fillId="4" borderId="0" xfId="0" applyFont="1" applyFill="1" applyAlignment="1" applyProtection="1">
      <alignment horizontal="left" vertical="center"/>
      <protection hidden="1"/>
    </xf>
    <xf numFmtId="0" fontId="16" fillId="4" borderId="0" xfId="1" applyFont="1" applyFill="1" applyAlignment="1" applyProtection="1">
      <alignment horizontal="left" vertical="center" indent="1"/>
      <protection hidden="1"/>
    </xf>
    <xf numFmtId="0" fontId="0" fillId="4" borderId="8" xfId="0" applyFill="1" applyBorder="1" applyAlignment="1" applyProtection="1">
      <alignment vertical="center"/>
      <protection hidden="1"/>
    </xf>
    <xf numFmtId="0" fontId="0" fillId="4" borderId="12" xfId="0" applyFill="1" applyBorder="1" applyProtection="1">
      <protection hidden="1"/>
    </xf>
    <xf numFmtId="167" fontId="0" fillId="3" borderId="0" xfId="0" applyNumberFormat="1" applyFill="1" applyAlignment="1">
      <alignment horizontal="center" vertical="center"/>
    </xf>
    <xf numFmtId="168" fontId="3" fillId="3" borderId="0" xfId="0" applyNumberFormat="1" applyFont="1" applyFill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168" fontId="0" fillId="3" borderId="0" xfId="0" applyNumberFormat="1" applyFill="1" applyAlignment="1" applyProtection="1">
      <alignment horizontal="center"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0" fillId="3" borderId="0" xfId="0" applyNumberFormat="1" applyFill="1" applyAlignment="1">
      <alignment horizontal="center" vertical="center"/>
    </xf>
    <xf numFmtId="0" fontId="0" fillId="2" borderId="0" xfId="0" applyFill="1" applyAlignment="1" applyProtection="1">
      <alignment horizontal="right" vertical="center"/>
      <protection hidden="1"/>
    </xf>
    <xf numFmtId="0" fontId="20" fillId="2" borderId="0" xfId="0" applyFont="1" applyFill="1" applyAlignment="1" applyProtection="1">
      <alignment horizontal="left" vertical="center"/>
      <protection hidden="1"/>
    </xf>
    <xf numFmtId="171" fontId="14" fillId="3" borderId="17" xfId="0" applyNumberFormat="1" applyFont="1" applyFill="1" applyBorder="1" applyAlignment="1" applyProtection="1">
      <alignment horizontal="center" vertical="center"/>
      <protection locked="0" hidden="1"/>
    </xf>
    <xf numFmtId="4" fontId="0" fillId="3" borderId="0" xfId="0" applyNumberFormat="1" applyFill="1" applyAlignment="1" applyProtection="1">
      <alignment horizontal="center" vertical="center"/>
      <protection locked="0"/>
    </xf>
    <xf numFmtId="167" fontId="0" fillId="3" borderId="0" xfId="0" applyNumberFormat="1" applyFill="1" applyAlignment="1" applyProtection="1">
      <alignment horizontal="center" vertical="center"/>
      <protection hidden="1"/>
    </xf>
    <xf numFmtId="172" fontId="0" fillId="3" borderId="0" xfId="0" applyNumberFormat="1" applyFill="1" applyAlignment="1" applyProtection="1">
      <alignment horizontal="center" vertical="center"/>
      <protection hidden="1"/>
    </xf>
    <xf numFmtId="172" fontId="0" fillId="3" borderId="0" xfId="0" applyNumberFormat="1" applyFill="1" applyAlignment="1">
      <alignment horizontal="center" vertical="center"/>
    </xf>
    <xf numFmtId="9" fontId="0" fillId="5" borderId="0" xfId="0" applyNumberFormat="1" applyFill="1" applyAlignment="1">
      <alignment horizontal="right"/>
    </xf>
    <xf numFmtId="0" fontId="0" fillId="5" borderId="0" xfId="0" applyFill="1" applyAlignment="1">
      <alignment horizontal="right"/>
    </xf>
    <xf numFmtId="0" fontId="2" fillId="2" borderId="0" xfId="0" applyFont="1" applyFill="1" applyAlignment="1" applyProtection="1">
      <alignment vertical="center"/>
      <protection hidden="1"/>
    </xf>
    <xf numFmtId="0" fontId="13" fillId="2" borderId="0" xfId="0" applyFont="1" applyFill="1" applyAlignment="1" applyProtection="1">
      <alignment horizontal="right" vertical="center"/>
      <protection hidden="1"/>
    </xf>
    <xf numFmtId="0" fontId="22" fillId="2" borderId="0" xfId="0" applyFont="1" applyFill="1" applyAlignment="1" applyProtection="1">
      <alignment horizontal="right" vertical="center"/>
      <protection hidden="1"/>
    </xf>
    <xf numFmtId="0" fontId="0" fillId="0" borderId="0" xfId="0" applyAlignment="1">
      <alignment horizontal="left"/>
    </xf>
    <xf numFmtId="173" fontId="0" fillId="3" borderId="0" xfId="0" applyNumberFormat="1" applyFill="1"/>
    <xf numFmtId="0" fontId="24" fillId="3" borderId="0" xfId="0" applyFont="1" applyFill="1"/>
    <xf numFmtId="10" fontId="0" fillId="3" borderId="0" xfId="0" applyNumberFormat="1" applyFill="1"/>
    <xf numFmtId="173" fontId="3" fillId="3" borderId="0" xfId="0" applyNumberFormat="1" applyFont="1" applyFill="1" applyAlignment="1">
      <alignment horizontal="center" vertical="center"/>
    </xf>
    <xf numFmtId="170" fontId="0" fillId="3" borderId="0" xfId="0" applyNumberFormat="1" applyFill="1" applyAlignment="1">
      <alignment horizontal="center" vertical="center"/>
    </xf>
    <xf numFmtId="0" fontId="2" fillId="4" borderId="2" xfId="0" applyFont="1" applyFill="1" applyBorder="1" applyAlignment="1" applyProtection="1">
      <alignment vertical="center"/>
      <protection hidden="1"/>
    </xf>
    <xf numFmtId="0" fontId="2" fillId="4" borderId="7" xfId="0" applyFont="1" applyFill="1" applyBorder="1" applyAlignment="1" applyProtection="1">
      <alignment vertical="center"/>
      <protection hidden="1"/>
    </xf>
    <xf numFmtId="0" fontId="2" fillId="4" borderId="3" xfId="0" applyFont="1" applyFill="1" applyBorder="1" applyAlignment="1" applyProtection="1">
      <alignment vertical="center"/>
      <protection hidden="1"/>
    </xf>
    <xf numFmtId="0" fontId="23" fillId="3" borderId="17" xfId="0" applyFont="1" applyFill="1" applyBorder="1" applyAlignment="1" applyProtection="1">
      <alignment horizontal="center" vertical="center"/>
      <protection locked="0" hidden="1"/>
    </xf>
    <xf numFmtId="164" fontId="0" fillId="3" borderId="0" xfId="0" applyNumberFormat="1" applyFill="1" applyAlignment="1" applyProtection="1">
      <alignment horizontal="center" vertical="center"/>
      <protection locked="0"/>
    </xf>
    <xf numFmtId="170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>
      <alignment horizontal="center" vertical="center"/>
    </xf>
    <xf numFmtId="171" fontId="22" fillId="3" borderId="17" xfId="0" applyNumberFormat="1" applyFont="1" applyFill="1" applyBorder="1" applyAlignment="1" applyProtection="1">
      <alignment horizontal="center" vertical="center"/>
      <protection locked="0" hidden="1"/>
    </xf>
    <xf numFmtId="169" fontId="0" fillId="10" borderId="0" xfId="0" applyNumberFormat="1" applyFill="1"/>
    <xf numFmtId="169" fontId="3" fillId="10" borderId="0" xfId="0" applyNumberFormat="1" applyFont="1" applyFill="1" applyAlignment="1">
      <alignment horizontal="center" vertical="center"/>
    </xf>
    <xf numFmtId="169" fontId="0" fillId="10" borderId="0" xfId="0" applyNumberFormat="1" applyFill="1" applyAlignment="1">
      <alignment horizontal="center" vertical="center"/>
    </xf>
    <xf numFmtId="9" fontId="2" fillId="3" borderId="1" xfId="0" applyNumberFormat="1" applyFont="1" applyFill="1" applyBorder="1" applyAlignment="1" applyProtection="1">
      <alignment horizontal="center" vertical="center"/>
      <protection locked="0" hidden="1"/>
    </xf>
    <xf numFmtId="165" fontId="2" fillId="4" borderId="2" xfId="0" applyNumberFormat="1" applyFont="1" applyFill="1" applyBorder="1" applyAlignment="1" applyProtection="1">
      <alignment horizontal="center" vertical="center"/>
      <protection hidden="1"/>
    </xf>
    <xf numFmtId="165" fontId="2" fillId="4" borderId="3" xfId="0" applyNumberFormat="1" applyFont="1" applyFill="1" applyBorder="1" applyAlignment="1" applyProtection="1">
      <alignment horizontal="center" vertical="center"/>
      <protection hidden="1"/>
    </xf>
    <xf numFmtId="14" fontId="2" fillId="3" borderId="2" xfId="0" applyNumberFormat="1" applyFont="1" applyFill="1" applyBorder="1" applyAlignment="1" applyProtection="1">
      <alignment horizontal="center" vertical="center"/>
      <protection locked="0" hidden="1"/>
    </xf>
    <xf numFmtId="14" fontId="2" fillId="3" borderId="3" xfId="0" applyNumberFormat="1" applyFont="1" applyFill="1" applyBorder="1" applyAlignment="1" applyProtection="1">
      <alignment horizontal="center" vertical="center"/>
      <protection locked="0" hidden="1"/>
    </xf>
    <xf numFmtId="0" fontId="2" fillId="4" borderId="2" xfId="0" applyFont="1" applyFill="1" applyBorder="1" applyAlignment="1" applyProtection="1">
      <alignment horizontal="left" vertical="center"/>
      <protection hidden="1"/>
    </xf>
    <xf numFmtId="0" fontId="2" fillId="4" borderId="7" xfId="0" applyFont="1" applyFill="1" applyBorder="1" applyAlignment="1" applyProtection="1">
      <alignment horizontal="left" vertical="center"/>
      <protection hidden="1"/>
    </xf>
    <xf numFmtId="0" fontId="2" fillId="4" borderId="3" xfId="0" applyFont="1" applyFill="1" applyBorder="1" applyAlignment="1" applyProtection="1">
      <alignment horizontal="left" vertical="center"/>
      <protection hidden="1"/>
    </xf>
    <xf numFmtId="165" fontId="2" fillId="4" borderId="1" xfId="0" applyNumberFormat="1" applyFont="1" applyFill="1" applyBorder="1" applyAlignment="1" applyProtection="1">
      <alignment horizontal="center" vertical="center"/>
      <protection hidden="1"/>
    </xf>
    <xf numFmtId="0" fontId="2" fillId="4" borderId="1" xfId="0" applyFont="1" applyFill="1" applyBorder="1" applyAlignment="1" applyProtection="1">
      <alignment horizontal="left" vertical="center"/>
      <protection hidden="1"/>
    </xf>
    <xf numFmtId="166" fontId="0" fillId="4" borderId="1" xfId="0" applyNumberFormat="1" applyFill="1" applyBorder="1" applyAlignment="1" applyProtection="1">
      <alignment horizontal="center" vertical="center"/>
      <protection hidden="1"/>
    </xf>
    <xf numFmtId="9" fontId="0" fillId="3" borderId="1" xfId="0" applyNumberFormat="1" applyFill="1" applyBorder="1" applyAlignment="1" applyProtection="1">
      <alignment horizontal="center" vertical="center"/>
      <protection locked="0" hidden="1"/>
    </xf>
    <xf numFmtId="0" fontId="2" fillId="3" borderId="1" xfId="0" applyFont="1" applyFill="1" applyBorder="1" applyAlignment="1" applyProtection="1">
      <alignment horizontal="center" vertical="center"/>
      <protection locked="0" hidden="1"/>
    </xf>
    <xf numFmtId="0" fontId="0" fillId="4" borderId="1" xfId="0" applyFill="1" applyBorder="1" applyAlignment="1" applyProtection="1">
      <alignment horizontal="left" vertical="center"/>
      <protection hidden="1"/>
    </xf>
    <xf numFmtId="14" fontId="2" fillId="3" borderId="1" xfId="0" applyNumberFormat="1" applyFont="1" applyFill="1" applyBorder="1" applyAlignment="1" applyProtection="1">
      <alignment horizontal="center" vertical="center"/>
      <protection locked="0" hidden="1"/>
    </xf>
    <xf numFmtId="0" fontId="2" fillId="4" borderId="1" xfId="0" applyFont="1" applyFill="1" applyBorder="1" applyAlignment="1" applyProtection="1">
      <alignment horizontal="center" vertical="center"/>
      <protection hidden="1"/>
    </xf>
    <xf numFmtId="165" fontId="2" fillId="4" borderId="0" xfId="0" applyNumberFormat="1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18" fillId="4" borderId="15" xfId="0" applyFont="1" applyFill="1" applyBorder="1" applyAlignment="1" applyProtection="1">
      <alignment horizontal="left" vertical="center"/>
      <protection hidden="1"/>
    </xf>
    <xf numFmtId="0" fontId="18" fillId="4" borderId="13" xfId="0" applyFont="1" applyFill="1" applyBorder="1" applyAlignment="1" applyProtection="1">
      <alignment horizontal="left" vertical="center"/>
      <protection hidden="1"/>
    </xf>
    <xf numFmtId="0" fontId="18" fillId="4" borderId="14" xfId="0" applyFont="1" applyFill="1" applyBorder="1" applyAlignment="1" applyProtection="1">
      <alignment horizontal="left" vertical="center"/>
      <protection hidden="1"/>
    </xf>
    <xf numFmtId="165" fontId="6" fillId="4" borderId="15" xfId="0" applyNumberFormat="1" applyFont="1" applyFill="1" applyBorder="1" applyAlignment="1" applyProtection="1">
      <alignment horizontal="center" vertical="center"/>
      <protection hidden="1"/>
    </xf>
    <xf numFmtId="165" fontId="6" fillId="4" borderId="16" xfId="0" applyNumberFormat="1" applyFont="1" applyFill="1" applyBorder="1" applyAlignment="1" applyProtection="1">
      <alignment horizontal="center" vertical="center"/>
      <protection hidden="1"/>
    </xf>
    <xf numFmtId="0" fontId="0" fillId="4" borderId="2" xfId="0" applyFill="1" applyBorder="1" applyAlignment="1" applyProtection="1">
      <alignment horizontal="left" vertical="center"/>
      <protection hidden="1"/>
    </xf>
    <xf numFmtId="0" fontId="0" fillId="4" borderId="7" xfId="0" applyFill="1" applyBorder="1" applyAlignment="1" applyProtection="1">
      <alignment horizontal="left" vertical="center"/>
      <protection hidden="1"/>
    </xf>
    <xf numFmtId="0" fontId="0" fillId="4" borderId="3" xfId="0" applyFill="1" applyBorder="1" applyAlignment="1" applyProtection="1">
      <alignment horizontal="left" vertical="center"/>
      <protection hidden="1"/>
    </xf>
    <xf numFmtId="164" fontId="0" fillId="4" borderId="2" xfId="0" applyNumberFormat="1" applyFill="1" applyBorder="1" applyAlignment="1" applyProtection="1">
      <alignment horizontal="center" vertical="center"/>
      <protection hidden="1"/>
    </xf>
    <xf numFmtId="164" fontId="0" fillId="4" borderId="3" xfId="0" applyNumberFormat="1" applyFill="1" applyBorder="1" applyAlignment="1" applyProtection="1">
      <alignment horizontal="center" vertical="center"/>
      <protection hidden="1"/>
    </xf>
    <xf numFmtId="0" fontId="0" fillId="4" borderId="9" xfId="0" applyFill="1" applyBorder="1" applyAlignment="1" applyProtection="1">
      <alignment horizontal="center" vertical="center"/>
      <protection locked="0" hidden="1"/>
    </xf>
    <xf numFmtId="0" fontId="0" fillId="4" borderId="10" xfId="0" applyFill="1" applyBorder="1" applyAlignment="1" applyProtection="1">
      <alignment horizontal="center" vertical="center"/>
      <protection locked="0" hidden="1"/>
    </xf>
    <xf numFmtId="0" fontId="0" fillId="4" borderId="11" xfId="0" applyFill="1" applyBorder="1" applyAlignment="1" applyProtection="1">
      <alignment horizontal="center" vertical="center"/>
      <protection locked="0" hidden="1"/>
    </xf>
    <xf numFmtId="0" fontId="4" fillId="4" borderId="0" xfId="0" applyFont="1" applyFill="1" applyAlignment="1" applyProtection="1">
      <alignment horizontal="center" vertical="center" wrapText="1"/>
      <protection hidden="1"/>
    </xf>
    <xf numFmtId="165" fontId="2" fillId="3" borderId="1" xfId="0" applyNumberFormat="1" applyFont="1" applyFill="1" applyBorder="1" applyAlignment="1" applyProtection="1">
      <alignment horizontal="center" vertical="center"/>
      <protection locked="0" hidden="1"/>
    </xf>
    <xf numFmtId="169" fontId="0" fillId="4" borderId="1" xfId="0" applyNumberFormat="1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left" vertical="center"/>
      <protection hidden="1"/>
    </xf>
    <xf numFmtId="0" fontId="4" fillId="4" borderId="0" xfId="0" applyFont="1" applyFill="1" applyAlignment="1" applyProtection="1">
      <alignment horizontal="center" vertical="center"/>
      <protection hidden="1"/>
    </xf>
    <xf numFmtId="14" fontId="0" fillId="4" borderId="1" xfId="0" applyNumberFormat="1" applyFill="1" applyBorder="1" applyAlignment="1" applyProtection="1">
      <alignment horizontal="center" vertical="center"/>
      <protection hidden="1"/>
    </xf>
    <xf numFmtId="14" fontId="2" fillId="4" borderId="1" xfId="0" applyNumberFormat="1" applyFont="1" applyFill="1" applyBorder="1" applyAlignment="1" applyProtection="1">
      <alignment horizontal="center" vertical="center"/>
      <protection hidden="1"/>
    </xf>
    <xf numFmtId="165" fontId="2" fillId="4" borderId="7" xfId="0" applyNumberFormat="1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top"/>
      <protection hidden="1"/>
    </xf>
    <xf numFmtId="0" fontId="4" fillId="4" borderId="8" xfId="0" applyFont="1" applyFill="1" applyBorder="1" applyAlignment="1" applyProtection="1">
      <alignment horizontal="center" vertical="center"/>
      <protection hidden="1"/>
    </xf>
    <xf numFmtId="14" fontId="0" fillId="3" borderId="1" xfId="0" applyNumberFormat="1" applyFill="1" applyBorder="1" applyAlignment="1" applyProtection="1">
      <alignment horizontal="center" vertical="center"/>
      <protection locked="0" hidden="1"/>
    </xf>
    <xf numFmtId="14" fontId="2" fillId="3" borderId="4" xfId="0" applyNumberFormat="1" applyFont="1" applyFill="1" applyBorder="1" applyAlignment="1" applyProtection="1">
      <alignment horizontal="center" vertical="center"/>
      <protection locked="0" hidden="1"/>
    </xf>
    <xf numFmtId="14" fontId="2" fillId="3" borderId="5" xfId="0" applyNumberFormat="1" applyFont="1" applyFill="1" applyBorder="1" applyAlignment="1" applyProtection="1">
      <alignment horizontal="center" vertical="center"/>
      <protection locked="0" hidden="1"/>
    </xf>
    <xf numFmtId="164" fontId="0" fillId="2" borderId="4" xfId="0" applyNumberFormat="1" applyFill="1" applyBorder="1" applyAlignment="1" applyProtection="1">
      <alignment horizontal="center" vertical="center"/>
      <protection hidden="1"/>
    </xf>
    <xf numFmtId="164" fontId="0" fillId="2" borderId="5" xfId="0" applyNumberFormat="1" applyFill="1" applyBorder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right" vertical="center"/>
      <protection hidden="1"/>
    </xf>
    <xf numFmtId="0" fontId="2" fillId="2" borderId="6" xfId="0" applyFont="1" applyFill="1" applyBorder="1" applyAlignment="1" applyProtection="1">
      <alignment horizontal="right" vertical="center"/>
      <protection hidden="1"/>
    </xf>
    <xf numFmtId="49" fontId="2" fillId="3" borderId="4" xfId="0" applyNumberFormat="1" applyFont="1" applyFill="1" applyBorder="1" applyAlignment="1" applyProtection="1">
      <alignment horizontal="center" vertical="center"/>
      <protection locked="0" hidden="1"/>
    </xf>
    <xf numFmtId="49" fontId="2" fillId="3" borderId="5" xfId="0" applyNumberFormat="1" applyFont="1" applyFill="1" applyBorder="1" applyAlignment="1" applyProtection="1">
      <alignment horizontal="center" vertical="center"/>
      <protection locked="0"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2" borderId="6" xfId="0" applyFont="1" applyFill="1" applyBorder="1" applyAlignment="1" applyProtection="1">
      <alignment horizontal="left" vertical="center"/>
      <protection hidden="1"/>
    </xf>
    <xf numFmtId="0" fontId="2" fillId="3" borderId="18" xfId="0" applyFont="1" applyFill="1" applyBorder="1" applyAlignment="1" applyProtection="1">
      <alignment horizontal="center" vertical="center" shrinkToFit="1"/>
      <protection locked="0" hidden="1"/>
    </xf>
    <xf numFmtId="0" fontId="2" fillId="3" borderId="0" xfId="0" applyFont="1" applyFill="1" applyAlignment="1" applyProtection="1">
      <alignment horizontal="center" vertical="center" shrinkToFit="1"/>
      <protection locked="0" hidden="1"/>
    </xf>
    <xf numFmtId="0" fontId="2" fillId="3" borderId="6" xfId="0" applyFont="1" applyFill="1" applyBorder="1" applyAlignment="1" applyProtection="1">
      <alignment horizontal="center" vertical="center" shrinkToFit="1"/>
      <protection locked="0" hidden="1"/>
    </xf>
    <xf numFmtId="0" fontId="12" fillId="4" borderId="2" xfId="0" applyFont="1" applyFill="1" applyBorder="1" applyAlignment="1" applyProtection="1">
      <alignment horizontal="left" vertical="center" indent="1"/>
      <protection locked="0" hidden="1"/>
    </xf>
    <xf numFmtId="0" fontId="12" fillId="4" borderId="7" xfId="0" applyFont="1" applyFill="1" applyBorder="1" applyAlignment="1" applyProtection="1">
      <alignment horizontal="left" vertical="center" indent="1"/>
      <protection locked="0" hidden="1"/>
    </xf>
    <xf numFmtId="0" fontId="12" fillId="4" borderId="3" xfId="0" applyFont="1" applyFill="1" applyBorder="1" applyAlignment="1" applyProtection="1">
      <alignment horizontal="left" vertical="center" indent="1"/>
      <protection locked="0" hidden="1"/>
    </xf>
    <xf numFmtId="0" fontId="0" fillId="0" borderId="0" xfId="0" applyProtection="1">
      <protection hidden="1"/>
    </xf>
    <xf numFmtId="0" fontId="2" fillId="4" borderId="1" xfId="0" applyFont="1" applyFill="1" applyBorder="1" applyAlignment="1" applyProtection="1">
      <alignment horizontal="left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 hidden="1"/>
    </xf>
    <xf numFmtId="0" fontId="2" fillId="3" borderId="7" xfId="0" applyFont="1" applyFill="1" applyBorder="1" applyAlignment="1" applyProtection="1">
      <alignment horizontal="center" vertical="center"/>
      <protection locked="0" hidden="1"/>
    </xf>
    <xf numFmtId="0" fontId="2" fillId="3" borderId="3" xfId="0" applyFont="1" applyFill="1" applyBorder="1" applyAlignment="1" applyProtection="1">
      <alignment horizontal="center" vertical="center"/>
      <protection locked="0" hidden="1"/>
    </xf>
    <xf numFmtId="0" fontId="11" fillId="0" borderId="7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top" wrapText="1"/>
      <protection locked="0"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4" fontId="0" fillId="9" borderId="2" xfId="0" applyNumberFormat="1" applyFill="1" applyBorder="1" applyAlignment="1" applyProtection="1">
      <alignment horizontal="left" vertical="center"/>
      <protection locked="0" hidden="1"/>
    </xf>
    <xf numFmtId="0" fontId="0" fillId="9" borderId="3" xfId="0" applyFill="1" applyBorder="1" applyAlignment="1" applyProtection="1">
      <alignment horizontal="left" vertical="center"/>
      <protection locked="0" hidden="1"/>
    </xf>
    <xf numFmtId="165" fontId="13" fillId="4" borderId="1" xfId="0" applyNumberFormat="1" applyFont="1" applyFill="1" applyBorder="1" applyAlignment="1" applyProtection="1">
      <alignment horizontal="center" vertical="center"/>
      <protection hidden="1"/>
    </xf>
    <xf numFmtId="14" fontId="0" fillId="9" borderId="3" xfId="0" applyNumberFormat="1" applyFill="1" applyBorder="1" applyAlignment="1" applyProtection="1">
      <alignment horizontal="left" vertical="center"/>
      <protection locked="0" hidden="1"/>
    </xf>
    <xf numFmtId="165" fontId="2" fillId="4" borderId="7" xfId="0" applyNumberFormat="1" applyFont="1" applyFill="1" applyBorder="1" applyAlignment="1" applyProtection="1">
      <alignment horizontal="right" vertical="center" indent="2"/>
      <protection hidden="1"/>
    </xf>
    <xf numFmtId="165" fontId="2" fillId="4" borderId="3" xfId="0" applyNumberFormat="1" applyFont="1" applyFill="1" applyBorder="1" applyAlignment="1" applyProtection="1">
      <alignment horizontal="right" vertical="center" indent="2"/>
      <protection hidden="1"/>
    </xf>
    <xf numFmtId="0" fontId="21" fillId="4" borderId="0" xfId="0" applyFont="1" applyFill="1" applyAlignment="1" applyProtection="1">
      <alignment horizontal="left" vertical="top" wrapText="1"/>
      <protection hidden="1"/>
    </xf>
    <xf numFmtId="0" fontId="23" fillId="3" borderId="4" xfId="0" applyFont="1" applyFill="1" applyBorder="1" applyAlignment="1" applyProtection="1">
      <alignment horizontal="center" vertical="center"/>
      <protection locked="0" hidden="1"/>
    </xf>
    <xf numFmtId="0" fontId="23" fillId="3" borderId="22" xfId="0" applyFont="1" applyFill="1" applyBorder="1" applyAlignment="1" applyProtection="1">
      <alignment horizontal="center" vertical="center"/>
      <protection locked="0" hidden="1"/>
    </xf>
    <xf numFmtId="0" fontId="23" fillId="3" borderId="5" xfId="0" applyFont="1" applyFill="1" applyBorder="1" applyAlignment="1" applyProtection="1">
      <alignment horizontal="center" vertical="center"/>
      <protection locked="0" hidden="1"/>
    </xf>
    <xf numFmtId="0" fontId="21" fillId="4" borderId="0" xfId="0" applyFont="1" applyFill="1" applyAlignment="1" applyProtection="1">
      <alignment horizontal="left" vertical="top" wrapText="1"/>
      <protection locked="0" hidden="1"/>
    </xf>
    <xf numFmtId="0" fontId="2" fillId="2" borderId="21" xfId="0" applyFont="1" applyFill="1" applyBorder="1" applyAlignment="1" applyProtection="1">
      <alignment horizontal="center" vertical="top"/>
      <protection hidden="1"/>
    </xf>
    <xf numFmtId="164" fontId="0" fillId="2" borderId="19" xfId="0" applyNumberFormat="1" applyFill="1" applyBorder="1" applyAlignment="1" applyProtection="1">
      <alignment horizontal="center" vertical="center"/>
      <protection hidden="1"/>
    </xf>
    <xf numFmtId="164" fontId="0" fillId="2" borderId="20" xfId="0" applyNumberFormat="1" applyFill="1" applyBorder="1" applyAlignment="1" applyProtection="1">
      <alignment horizontal="center" vertical="center"/>
      <protection hidden="1"/>
    </xf>
    <xf numFmtId="0" fontId="3" fillId="7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70" fontId="0" fillId="3" borderId="0" xfId="0" applyNumberFormat="1" applyFill="1" applyAlignment="1" applyProtection="1">
      <alignment horizontal="center" vertical="center"/>
    </xf>
    <xf numFmtId="10" fontId="0" fillId="3" borderId="0" xfId="0" applyNumberFormat="1" applyFill="1" applyProtection="1"/>
    <xf numFmtId="167" fontId="0" fillId="3" borderId="0" xfId="0" applyNumberFormat="1" applyFill="1" applyAlignment="1" applyProtection="1">
      <alignment horizontal="center" vertical="center"/>
    </xf>
    <xf numFmtId="4" fontId="0" fillId="3" borderId="0" xfId="0" applyNumberFormat="1" applyFill="1" applyAlignment="1" applyProtection="1">
      <alignment horizontal="center" vertical="center"/>
    </xf>
    <xf numFmtId="164" fontId="0" fillId="3" borderId="0" xfId="0" applyNumberFormat="1" applyFill="1" applyAlignment="1" applyProtection="1">
      <alignment horizontal="center" vertical="center"/>
    </xf>
  </cellXfs>
  <cellStyles count="3">
    <cellStyle name="Hiperlink" xfId="1" builtinId="8"/>
    <cellStyle name="Normal" xfId="0" builtinId="0"/>
    <cellStyle name="Vírgula 2" xfId="2" xr:uid="{69341FEB-AFA4-4258-99A1-D2B3DDFEE617}"/>
  </cellStyles>
  <dxfs count="83">
    <dxf>
      <fill>
        <patternFill>
          <bgColor theme="4" tint="0.59996337778862885"/>
        </patternFill>
      </fill>
    </dxf>
    <dxf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numFmt numFmtId="169" formatCode="0.0000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protection hidden="0"/>
    </dxf>
    <dxf>
      <numFmt numFmtId="170" formatCode="#,##0.00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72" formatCode="0.000000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numFmt numFmtId="168" formatCode="m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BF2D1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CBDBF9"/>
        </patternFill>
      </fill>
    </dxf>
    <dxf>
      <fill>
        <patternFill>
          <bgColor rgb="FFBED3F8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75" formatCode="&quot;&quot;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BF2D19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BF2D1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BED3F8"/>
        </patternFill>
      </fill>
    </dxf>
    <dxf>
      <fill>
        <patternFill>
          <bgColor rgb="FFCBDBF9"/>
        </patternFill>
      </fill>
    </dxf>
    <dxf>
      <fill>
        <patternFill>
          <bgColor rgb="FFBED3F8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75" formatCode="&quot;&quot;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BF2D19"/>
      </font>
    </dxf>
  </dxfs>
  <tableStyles count="1" defaultTableStyle="TableStyleMedium2" defaultPivotStyle="PivotStyleLight16">
    <tableStyle name="Estilo de Tabela 1" pivot="0" count="0" xr9:uid="{00000000-0011-0000-FFFF-FFFF00000000}"/>
  </tableStyles>
  <colors>
    <mruColors>
      <color rgb="FF97B8F3"/>
      <color rgb="FFB7CEF7"/>
      <color rgb="FFBF2D19"/>
      <color rgb="FFCBDBF9"/>
      <color rgb="FFB0C4DE"/>
      <color rgb="FFBED3F8"/>
      <color rgb="FFD9E5FB"/>
      <color rgb="FF6495ED"/>
      <color rgb="FF87CEFA"/>
      <color rgb="FF5F9E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Menus!$D$3" noThreeD="1"/>
</file>

<file path=xl/ctrlProps/ctrlProp2.xml><?xml version="1.0" encoding="utf-8"?>
<formControlPr xmlns="http://schemas.microsoft.com/office/spreadsheetml/2009/9/main" objectType="CheckBox" checked="Checked" fmlaLink="Menus!$D$4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fmlaLink="Menus!$B$6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4</xdr:row>
          <xdr:rowOff>47625</xdr:rowOff>
        </xdr:from>
        <xdr:to>
          <xdr:col>4</xdr:col>
          <xdr:colOff>352425</xdr:colOff>
          <xdr:row>4</xdr:row>
          <xdr:rowOff>276225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Honorários Advocatícios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4</xdr:row>
          <xdr:rowOff>47625</xdr:rowOff>
        </xdr:from>
        <xdr:to>
          <xdr:col>14</xdr:col>
          <xdr:colOff>466725</xdr:colOff>
          <xdr:row>4</xdr:row>
          <xdr:rowOff>276225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Custas e Despesas Processuais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</xdr:col>
      <xdr:colOff>371475</xdr:colOff>
      <xdr:row>0</xdr:row>
      <xdr:rowOff>0</xdr:rowOff>
    </xdr:from>
    <xdr:to>
      <xdr:col>3</xdr:col>
      <xdr:colOff>764852</xdr:colOff>
      <xdr:row>1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0"/>
          <a:ext cx="1107752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0</xdr:row>
          <xdr:rowOff>133350</xdr:rowOff>
        </xdr:from>
        <xdr:to>
          <xdr:col>17</xdr:col>
          <xdr:colOff>762000</xdr:colOff>
          <xdr:row>0</xdr:row>
          <xdr:rowOff>428625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</xdr:row>
          <xdr:rowOff>209550</xdr:rowOff>
        </xdr:from>
        <xdr:to>
          <xdr:col>7</xdr:col>
          <xdr:colOff>266700</xdr:colOff>
          <xdr:row>3</xdr:row>
          <xdr:rowOff>133350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Tabela Prática até data a especificar, e depois Selic para correção e juros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2</xdr:row>
          <xdr:rowOff>190500</xdr:rowOff>
        </xdr:from>
        <xdr:to>
          <xdr:col>17</xdr:col>
          <xdr:colOff>742950</xdr:colOff>
          <xdr:row>3</xdr:row>
          <xdr:rowOff>152400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TPTJ mais jrs. fixos até ago/24, depois iguais a Selic menos correção (CC/02, arts. 389 e 406)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3</xdr:row>
          <xdr:rowOff>104775</xdr:rowOff>
        </xdr:from>
        <xdr:to>
          <xdr:col>6</xdr:col>
          <xdr:colOff>533400</xdr:colOff>
          <xdr:row>4</xdr:row>
          <xdr:rowOff>9525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Tabela Prática mais juros iguais a Selic menos correção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3</xdr:row>
          <xdr:rowOff>104775</xdr:rowOff>
        </xdr:from>
        <xdr:to>
          <xdr:col>15</xdr:col>
          <xdr:colOff>428625</xdr:colOff>
          <xdr:row>4</xdr:row>
          <xdr:rowOff>9525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Tabela Prática e Juros Fixos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371475</xdr:colOff>
      <xdr:row>0</xdr:row>
      <xdr:rowOff>0</xdr:rowOff>
    </xdr:from>
    <xdr:to>
      <xdr:col>3</xdr:col>
      <xdr:colOff>764852</xdr:colOff>
      <xdr:row>1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3C5D2C7-A06A-4050-9565-7C315179F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0"/>
          <a:ext cx="1107752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Calculo" displayName="TabelaCalculo" ref="A2:N927" totalsRowShown="0" headerRowDxfId="16" dataDxfId="15">
  <autoFilter ref="A2:N927" xr:uid="{00000000-000C-0000-FFFF-FFFF00000000}"/>
  <tableColumns count="14">
    <tableColumn id="3" xr3:uid="{00000000-0010-0000-0000-000003000000}" name="DATA" dataDxfId="14">
      <calculatedColumnFormula>CONCATENATE(#REF!,"/",TabelaCalculo[[#This Row],[Coluna2]])</calculatedColumnFormula>
    </tableColumn>
    <tableColumn id="1" xr3:uid="{00000000-0010-0000-0000-000001000000}" name="Coluna2" dataDxfId="13"/>
    <tableColumn id="4" xr3:uid="{00000000-0010-0000-0000-000004000000}" name="Coluna1" dataDxfId="12"/>
    <tableColumn id="5" xr3:uid="{8294BCD6-7285-4326-8A32-64B9B17D12CD}" name="UFESP" dataDxfId="11"/>
    <tableColumn id="2" xr3:uid="{B7408A5D-DD8D-44B0-85EA-0243D01C7A17}" name="SELIC" dataDxfId="10">
      <calculatedColumnFormula>O3/100</calculatedColumnFormula>
    </tableColumn>
    <tableColumn id="7" xr3:uid="{7A71BB3E-41B5-4CC0-873E-C058B7E72BEC}" name="SELIC ACUMULADA" dataDxfId="9"/>
    <tableColumn id="6" xr3:uid="{D2923609-4520-4DCE-84BC-5624A4349C72}" name="SELIC MENOS CORREÇÃO" dataDxfId="8">
      <calculatedColumnFormula>IF(L2="","",G2+MAX(0,(1+L2)/ROUND(OFFSET(A3,0,FORMULÁRIO!$E$10-1)/OFFSET(A2,0,FORMULÁRIO!$E$10-1),4)-1)+IF(DATE(YEAR(FORMULÁRIO!Q$22),MONTH(FORMULÁRIO!Q$22),1)=TabelaCalculo[[#This Row],[DATA]],M2*(1-DAY(FORMULÁRIO!Q$22))/DAY(EOMONTH(TabelaCalculo[[#This Row],[DATA]],0)),0)+IF(DATE(YEAR(FORMULÁRIO!Q$24),MONTH(FORMULÁRIO!Q$24),1)=TabelaCalculo[[#This Row],[DATA]],M2*(-1+DAY(FORMULÁRIO!Q$24))/DAY(EOMONTH(TabelaCalculo[[#This Row],[DATA]],0)),0))</calculatedColumnFormula>
    </tableColumn>
    <tableColumn id="10" xr3:uid="{AB221531-57B8-4828-A123-9DA77927B420}" name="JRS._FIXOS" dataDxfId="7"/>
    <tableColumn id="8" xr3:uid="{888FA22A-36C1-4836-909B-3ADA988A0636}" name="INPC" dataDxfId="6"/>
    <tableColumn id="9" xr3:uid="{2B4149DE-3C35-4BE1-AB15-A1728DC9EFF0}" name="IPCA-15" dataDxfId="5"/>
    <tableColumn id="11" xr3:uid="{AEC074FD-F17A-484C-94C5-081FDFD47AD9}" name="Tab. Prát. L. 14.905" dataDxfId="4"/>
    <tableColumn id="12" xr3:uid="{72B02407-8221-46DF-A85D-9407E9CB2DD7}" name="BACEN-SÉRIE 29541" dataDxfId="3"/>
    <tableColumn id="13" xr3:uid="{4D02CF31-A04B-4490-B6F0-4B0C98D3FF55}" name="BACEN-SÉRIE 29543" dataDxfId="2">
      <calculatedColumnFormula>-1+ROUND((1+L2)/ROUND(OFFSET(A3,0,FORMULÁRIO!$E$10-1)/OFFSET(A2,0,FORMULÁRIO!$E$10-1),4),8)</calculatedColumnFormula>
    </tableColumn>
    <tableColumn id="14" xr3:uid="{7A2B9D1D-5662-4D7C-8549-EC77FB5309E7}" name="BACEN-SÉRIE 29544" dataDxfId="1"/>
  </tableColumns>
  <tableStyleInfo name="Estilo de Tabela 1" showFirstColumn="0" showLastColumn="0" showRowStripes="1" showColumnStripes="0"/>
  <extLst>
    <ext xmlns:x14="http://schemas.microsoft.com/office/spreadsheetml/2009/9/main" uri="{504A1905-F514-4f6f-8877-14C23A59335A}">
      <x14:table altText="JRS._CC_ART.406"/>
    </ext>
  </extLst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rtaldecustas.tjsp.jus.br/portaltjsp/pages/custas/new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ortaldecustas.tjsp.jus.br/portaltjsp/pages/custas/new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T100"/>
  <sheetViews>
    <sheetView showGridLines="0" tabSelected="1" zoomScale="190" zoomScaleNormal="190" workbookViewId="0">
      <selection activeCell="G8" sqref="G8:H8"/>
    </sheetView>
  </sheetViews>
  <sheetFormatPr defaultColWidth="0" defaultRowHeight="15" zeroHeight="1" x14ac:dyDescent="0.25"/>
  <cols>
    <col min="1" max="1" width="1.140625" style="14" customWidth="1"/>
    <col min="2" max="2" width="0.7109375" style="15" customWidth="1"/>
    <col min="3" max="3" width="10.7109375" style="15" customWidth="1"/>
    <col min="4" max="4" width="13.7109375" style="15" customWidth="1"/>
    <col min="5" max="5" width="7.7109375" style="15" customWidth="1"/>
    <col min="6" max="6" width="10.7109375" style="15" customWidth="1"/>
    <col min="7" max="8" width="12.7109375" style="15" customWidth="1"/>
    <col min="9" max="9" width="0.7109375" style="15" customWidth="1"/>
    <col min="10" max="11" width="0.28515625" style="15" customWidth="1"/>
    <col min="12" max="12" width="0.7109375" style="15" customWidth="1"/>
    <col min="13" max="14" width="6.7109375" style="15" customWidth="1"/>
    <col min="15" max="16" width="10.7109375" style="15" customWidth="1"/>
    <col min="17" max="18" width="13.7109375" style="15" customWidth="1"/>
    <col min="19" max="19" width="0.7109375" style="15" customWidth="1"/>
    <col min="20" max="20" width="1.140625" style="14" customWidth="1"/>
    <col min="21" max="16384" width="8.85546875" style="15" hidden="1"/>
  </cols>
  <sheetData>
    <row r="1" spans="1:20" s="13" customFormat="1" ht="50.1" customHeight="1" x14ac:dyDescent="0.25">
      <c r="A1" s="12"/>
      <c r="B1" s="12"/>
      <c r="C1" s="132" t="s">
        <v>0</v>
      </c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2"/>
      <c r="T1" s="12"/>
    </row>
    <row r="2" spans="1:20" ht="4.1500000000000004" customHeight="1" x14ac:dyDescent="0.25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20" ht="30" customHeight="1" x14ac:dyDescent="0.25">
      <c r="B3" s="11"/>
      <c r="C3" s="133" t="s">
        <v>66</v>
      </c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1"/>
    </row>
    <row r="4" spans="1:20" ht="30" customHeight="1" x14ac:dyDescent="0.25">
      <c r="A4" s="14" t="s">
        <v>1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20" ht="24.95" customHeight="1" x14ac:dyDescent="0.25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20" s="14" customFormat="1" ht="4.1500000000000004" customHeight="1" x14ac:dyDescent="0.25"/>
    <row r="7" spans="1:20" s="14" customFormat="1" ht="4.1500000000000004" customHeight="1" x14ac:dyDescent="0.25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</row>
    <row r="8" spans="1:20" s="14" customFormat="1" ht="18" customHeight="1" x14ac:dyDescent="0.25">
      <c r="B8" s="11"/>
      <c r="C8" s="140" t="str">
        <f>IF(OR(Menus!E10&gt;0,Menus!D3=TRUE,Menus!D4=TRUE),"Data da Atualização","")</f>
        <v>Data da Atualização</v>
      </c>
      <c r="D8" s="140"/>
      <c r="E8" s="140"/>
      <c r="F8" s="141"/>
      <c r="G8" s="136"/>
      <c r="H8" s="137"/>
      <c r="I8" s="11"/>
      <c r="J8" s="11"/>
      <c r="K8" s="11"/>
      <c r="L8" s="11"/>
      <c r="M8" s="144" t="str">
        <f>IF(AND(G8="",OR(Menus!E10&gt;0,Menus!D3=TRUE,Menus!D4=TRUE)),"INSIRA A DATA DA ATUALIZAÇÃO!","Proc. nº")</f>
        <v>INSIRA A DATA DA ATUALIZAÇÃO!</v>
      </c>
      <c r="N8" s="144"/>
      <c r="O8" s="144"/>
      <c r="P8" s="145"/>
      <c r="Q8" s="142" t="s">
        <v>72</v>
      </c>
      <c r="R8" s="143"/>
      <c r="S8" s="11"/>
    </row>
    <row r="9" spans="1:20" s="14" customFormat="1" ht="4.1500000000000004" customHeight="1" x14ac:dyDescent="0.25">
      <c r="B9" s="11"/>
      <c r="C9" s="16"/>
      <c r="D9" s="16"/>
      <c r="E9" s="16"/>
      <c r="F9" s="16"/>
      <c r="G9" s="16"/>
      <c r="H9" s="16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</row>
    <row r="10" spans="1:20" s="14" customFormat="1" ht="18" customHeight="1" x14ac:dyDescent="0.25">
      <c r="B10" s="11"/>
      <c r="C10" s="16" t="s">
        <v>85</v>
      </c>
      <c r="D10" s="88" t="s">
        <v>101</v>
      </c>
      <c r="E10" s="64">
        <f>IF(D10="INPC",9,IF(D10="IPCA-15",10,11))</f>
        <v>11</v>
      </c>
      <c r="F10" s="63" t="str">
        <f>IF(G8="","","Índice Final")</f>
        <v/>
      </c>
      <c r="G10" s="138" t="e">
        <f>IF(OR(G8="",Menus!E10&gt;0),VLOOKUP(G8,ÍNDICES!A$3:K$926,$E$10),"")</f>
        <v>#N/A</v>
      </c>
      <c r="H10" s="139"/>
      <c r="I10" s="11"/>
      <c r="J10" s="11"/>
      <c r="K10" s="11"/>
      <c r="L10" s="11"/>
      <c r="M10" s="72" t="str">
        <f>IF(OR(Menus!E10&gt;0,Menus!D3=TRUE,Menus!D4=TRUE),"Unidade")</f>
        <v>Unidade</v>
      </c>
      <c r="N10" s="72"/>
      <c r="O10" s="146"/>
      <c r="P10" s="147"/>
      <c r="Q10" s="147"/>
      <c r="R10" s="148"/>
      <c r="S10" s="11"/>
    </row>
    <row r="11" spans="1:20" s="14" customFormat="1" ht="4.1500000000000004" customHeight="1" x14ac:dyDescent="0.2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1:20" s="14" customFormat="1" ht="4.1500000000000004" customHeight="1" x14ac:dyDescent="0.25"/>
    <row r="13" spans="1:20" ht="4.1500000000000004" customHeight="1" x14ac:dyDescent="0.25">
      <c r="B13" s="17"/>
      <c r="C13" s="17"/>
      <c r="D13" s="17"/>
      <c r="E13" s="17"/>
      <c r="F13" s="17"/>
      <c r="G13" s="17"/>
      <c r="H13" s="17"/>
      <c r="I13" s="17"/>
      <c r="J13" s="14"/>
      <c r="K13" s="14"/>
      <c r="L13" s="17"/>
      <c r="M13" s="17"/>
      <c r="N13" s="17"/>
      <c r="O13" s="17"/>
      <c r="P13" s="17"/>
      <c r="Q13" s="17"/>
      <c r="R13" s="17"/>
      <c r="S13" s="17"/>
    </row>
    <row r="14" spans="1:20" ht="18" customHeight="1" x14ac:dyDescent="0.25">
      <c r="B14" s="17"/>
      <c r="C14" s="109" t="s">
        <v>67</v>
      </c>
      <c r="D14" s="109"/>
      <c r="E14" s="109"/>
      <c r="F14" s="109"/>
      <c r="G14" s="109"/>
      <c r="H14" s="109"/>
      <c r="I14" s="17"/>
      <c r="J14" s="14"/>
      <c r="K14" s="14"/>
      <c r="L14" s="17"/>
      <c r="M14" s="109" t="str">
        <f>IF(Menus!D6=TRUE,"SELIC PARA JUROS E CORREÇÃO","JUROS MORATÓRIOS CONFORME O CÓDIGO CIVIL")</f>
        <v>JUROS MORATÓRIOS CONFORME O CÓDIGO CIVIL</v>
      </c>
      <c r="N14" s="109"/>
      <c r="O14" s="109"/>
      <c r="P14" s="109"/>
      <c r="Q14" s="109"/>
      <c r="R14" s="109"/>
      <c r="S14" s="17"/>
    </row>
    <row r="15" spans="1:20" ht="18" customHeight="1" x14ac:dyDescent="0.25">
      <c r="B15" s="17"/>
      <c r="C15" s="134" t="str">
        <f>IF(OR(G16="",G18=""),"PREENCHA OS CAMPOS EM BRANCO","")</f>
        <v>PREENCHA OS CAMPOS EM BRANCO</v>
      </c>
      <c r="D15" s="134"/>
      <c r="E15" s="134"/>
      <c r="F15" s="134"/>
      <c r="G15" s="134"/>
      <c r="H15" s="134"/>
      <c r="I15" s="17"/>
      <c r="J15" s="14"/>
      <c r="K15" s="14"/>
      <c r="L15" s="17"/>
      <c r="M15" s="134" t="s">
        <v>78</v>
      </c>
      <c r="N15" s="134"/>
      <c r="O15" s="134"/>
      <c r="P15" s="134"/>
      <c r="Q15" s="134"/>
      <c r="R15" s="134"/>
      <c r="S15" s="17"/>
    </row>
    <row r="16" spans="1:20" ht="18" customHeight="1" x14ac:dyDescent="0.25">
      <c r="B16" s="17"/>
      <c r="C16" s="101" t="str">
        <f>IF(OR(Menus!E10&gt;0,FORMULÁRIO!G8&lt;&gt;""),"Valor do Débito","")</f>
        <v>Valor do Débito</v>
      </c>
      <c r="D16" s="101"/>
      <c r="E16" s="101"/>
      <c r="F16" s="101"/>
      <c r="G16" s="124"/>
      <c r="H16" s="124"/>
      <c r="I16" s="17"/>
      <c r="J16" s="14"/>
      <c r="K16" s="14"/>
      <c r="L16" s="17"/>
      <c r="M16" s="101" t="str">
        <f>IF(FORMULÁRIO!G8&lt;&gt;"",IF(Menus!D6=FALSE,"Incidem Juros Moratórios?",IF(Menus!D7=FALSE,"Selic para correção e juros?","")),"")</f>
        <v/>
      </c>
      <c r="N16" s="101"/>
      <c r="O16" s="101"/>
      <c r="P16" s="101"/>
      <c r="Q16" s="104"/>
      <c r="R16" s="104"/>
      <c r="S16" s="17"/>
    </row>
    <row r="17" spans="1:20" ht="4.1500000000000004" customHeight="1" x14ac:dyDescent="0.25">
      <c r="B17" s="17"/>
      <c r="C17" s="18"/>
      <c r="D17" s="18"/>
      <c r="E17" s="18"/>
      <c r="F17" s="18"/>
      <c r="G17" s="19"/>
      <c r="H17" s="18"/>
      <c r="I17" s="17"/>
      <c r="J17" s="14"/>
      <c r="K17" s="14"/>
      <c r="L17" s="17"/>
      <c r="M17" s="18"/>
      <c r="N17" s="18"/>
      <c r="O17" s="18"/>
      <c r="P17" s="18"/>
      <c r="Q17" s="18"/>
      <c r="R17" s="18"/>
      <c r="S17" s="17"/>
    </row>
    <row r="18" spans="1:20" ht="18" customHeight="1" x14ac:dyDescent="0.25">
      <c r="B18" s="17"/>
      <c r="C18" s="101" t="str">
        <f>IF(OR(Menus!E10&gt;0,FORMULÁRIO!G8&lt;&gt;""),"Data Inicial","")</f>
        <v>Data Inicial</v>
      </c>
      <c r="D18" s="101"/>
      <c r="E18" s="101"/>
      <c r="F18" s="101"/>
      <c r="G18" s="135"/>
      <c r="H18" s="135"/>
      <c r="I18" s="17"/>
      <c r="J18" s="14"/>
      <c r="K18" s="14"/>
      <c r="L18" s="17"/>
      <c r="M18" s="105" t="str">
        <f>IF(Menus!D7=TRUE,IF(G8&lt;DATE(2024,8,$E$108),"1% a.m.","1% a.m. até ago/2024, totalizando:"),IF(Menus!D9=TRUE,"Juros de 1% a.m.",""))</f>
        <v>1% a.m.</v>
      </c>
      <c r="N18" s="105"/>
      <c r="O18" s="105"/>
      <c r="P18" s="105"/>
      <c r="Q18" s="126" t="str">
        <f>IF(OR(Q22=0,Q22="",M18=""),"",MAX(0,0.5%*DAYS360(Q22,DATE(2003,1,10))/30)+1%*MAX(DAYS360(MAX(DATE(2003,1,10),Q22),IF(Menus!B6=2,MIN(G8,Q24,DATE(2024,8,28)),MIN(G8,Q24)))/30,0))</f>
        <v/>
      </c>
      <c r="R18" s="126"/>
      <c r="S18" s="17"/>
    </row>
    <row r="19" spans="1:20" ht="4.1500000000000004" customHeight="1" x14ac:dyDescent="0.25">
      <c r="B19" s="17"/>
      <c r="C19" s="18"/>
      <c r="D19" s="18"/>
      <c r="E19" s="18"/>
      <c r="F19" s="18"/>
      <c r="G19" s="18"/>
      <c r="H19" s="18"/>
      <c r="I19" s="17"/>
      <c r="J19" s="14"/>
      <c r="K19" s="14"/>
      <c r="L19" s="17"/>
      <c r="M19" s="18"/>
      <c r="N19" s="18"/>
      <c r="O19" s="18"/>
      <c r="P19" s="18"/>
      <c r="Q19" s="18"/>
      <c r="R19" s="18"/>
      <c r="S19" s="17"/>
    </row>
    <row r="20" spans="1:20" ht="18" customHeight="1" x14ac:dyDescent="0.25">
      <c r="B20" s="17"/>
      <c r="C20" s="115" t="str">
        <f>IF(OR(Menus!E10&gt;0,FORMULÁRIO!G8&lt;&gt;""),"Índice Inicial","")</f>
        <v>Índice Inicial</v>
      </c>
      <c r="D20" s="116"/>
      <c r="E20" s="116"/>
      <c r="F20" s="117"/>
      <c r="G20" s="118" t="str">
        <f>IF(OR(G16="",G18=""),"",VLOOKUP(G18,ÍNDICES!A$3:K$926,$E$10))</f>
        <v/>
      </c>
      <c r="H20" s="119"/>
      <c r="I20" s="17"/>
      <c r="J20" s="14"/>
      <c r="K20" s="14"/>
      <c r="L20" s="17"/>
      <c r="M20" s="105" t="str">
        <f>IF(G8="","",IF(Menus!D6=TRUE,"Variação da Selic",IF(OR(Menus!B6=2,Menus!B6=3),IF(AND(Menus!B6=2,G8&lt;DATE(2024,8,$E$108)),"","Selic menos Correção:"),"")))</f>
        <v/>
      </c>
      <c r="N20" s="105"/>
      <c r="O20" s="105"/>
      <c r="P20" s="105"/>
      <c r="Q20" s="125" t="str">
        <f>IFERROR(IF(M20="","",MAX(MAX(0,VLOOKUP(G18,ÍNDICES!A$3:K$926,7)-VLOOKUP(MAX(IF(M18="",0,DATE(2024,8,28)),Q22),ÍNDICES!A$3:K$926,7))+VLOOKUP(G8,ÍNDICES!A$3:K$926,IF(Menus!D6=TRUE,6,7))-VLOOKUP(MAX(IF(M18="",0,DATE(2024,8,28)),Q22,G18),ÍNDICES!A$3:K$926,IF(Menus!D6=TRUE,6,7)),0))+IF(Menus!D6=TRUE,0,VLOOKUP(Q22,ÍNDICES!A3:M927,13)*(DAY(EOMONTH(Q22,0))+1-DAY(Q22))/DAY(EOMONTH(Q22,0))-VLOOKUP(Q24,ÍNDICES!A3:M927,13)*(DAY(EOMONTH(Q24,0))+1-DAY(Q24))/DAY(EOMONTH(Q24,0))),"")</f>
        <v/>
      </c>
      <c r="R20" s="125"/>
      <c r="S20" s="17"/>
    </row>
    <row r="21" spans="1:20" ht="4.1500000000000004" customHeight="1" x14ac:dyDescent="0.25">
      <c r="B21" s="17"/>
      <c r="C21" s="18"/>
      <c r="D21" s="18"/>
      <c r="E21" s="18"/>
      <c r="F21" s="18"/>
      <c r="G21" s="18"/>
      <c r="H21" s="18"/>
      <c r="I21" s="17"/>
      <c r="J21" s="14"/>
      <c r="K21" s="14"/>
      <c r="L21" s="17"/>
      <c r="M21" s="18"/>
      <c r="N21" s="18"/>
      <c r="O21" s="18"/>
      <c r="P21" s="18"/>
      <c r="Q21" s="18"/>
      <c r="R21" s="18"/>
      <c r="S21" s="17"/>
    </row>
    <row r="22" spans="1:20" ht="18" customHeight="1" x14ac:dyDescent="0.25">
      <c r="B22" s="17"/>
      <c r="C22" s="101" t="str">
        <f>IF(Menus!D$6=TRUE,"Tabela Prática até a Data","")</f>
        <v/>
      </c>
      <c r="D22" s="101"/>
      <c r="E22" s="101"/>
      <c r="F22" s="101"/>
      <c r="G22" s="130">
        <f>IF(OR(Menus!D6=FALSE,Q22=""),G8,Q22)</f>
        <v>0</v>
      </c>
      <c r="H22" s="130"/>
      <c r="I22" s="17"/>
      <c r="J22" s="14"/>
      <c r="K22" s="14"/>
      <c r="L22" s="17"/>
      <c r="M22" s="101" t="str">
        <f>IF(AND(Menus!E10&gt;0,FORMULÁRIO!G8&lt;&gt;"",Q16="Sim"),"Data Inicial","")</f>
        <v/>
      </c>
      <c r="N22" s="101"/>
      <c r="O22" s="101"/>
      <c r="P22" s="101"/>
      <c r="Q22" s="106"/>
      <c r="R22" s="106"/>
      <c r="S22" s="17"/>
    </row>
    <row r="23" spans="1:20" ht="4.1500000000000004" customHeight="1" x14ac:dyDescent="0.25">
      <c r="B23" s="17"/>
      <c r="C23" s="18"/>
      <c r="D23" s="18"/>
      <c r="E23" s="18"/>
      <c r="F23" s="18"/>
      <c r="G23" s="18"/>
      <c r="H23" s="18"/>
      <c r="I23" s="17"/>
      <c r="J23" s="14"/>
      <c r="K23" s="14"/>
      <c r="L23" s="17"/>
      <c r="M23" s="19"/>
      <c r="N23" s="19"/>
      <c r="O23" s="19"/>
      <c r="P23" s="19"/>
      <c r="Q23" s="18"/>
      <c r="R23" s="18"/>
      <c r="S23" s="17"/>
    </row>
    <row r="24" spans="1:20" ht="18" customHeight="1" x14ac:dyDescent="0.25">
      <c r="B24" s="17"/>
      <c r="C24" s="115" t="str">
        <f>IF(AND(Menus!D$6=TRUE,FORMULÁRIO!G$8&lt;&gt;""),"Índice Final","")</f>
        <v/>
      </c>
      <c r="D24" s="116"/>
      <c r="E24" s="116"/>
      <c r="F24" s="117"/>
      <c r="G24" s="118" t="e">
        <f>IF(OR(G20="",G22=""),G10,VLOOKUP(G22,ÍNDICES!A$3:K$926,$E$10))</f>
        <v>#N/A</v>
      </c>
      <c r="H24" s="119"/>
      <c r="I24" s="17"/>
      <c r="J24" s="14"/>
      <c r="K24" s="14"/>
      <c r="L24" s="17"/>
      <c r="M24" s="101" t="str">
        <f>IF(OR(G8="",M22=""),"","Data Final")</f>
        <v/>
      </c>
      <c r="N24" s="101"/>
      <c r="O24" s="101"/>
      <c r="P24" s="101"/>
      <c r="Q24" s="129" t="str">
        <f>IF(G8="","",G8)</f>
        <v/>
      </c>
      <c r="R24" s="129"/>
      <c r="S24" s="17"/>
    </row>
    <row r="25" spans="1:20" ht="4.1500000000000004" customHeight="1" x14ac:dyDescent="0.25">
      <c r="B25" s="17"/>
      <c r="C25" s="20"/>
      <c r="D25" s="20"/>
      <c r="E25" s="20"/>
      <c r="F25" s="20"/>
      <c r="G25" s="21"/>
      <c r="H25" s="21"/>
      <c r="I25" s="17"/>
      <c r="J25" s="14"/>
      <c r="K25" s="14"/>
      <c r="L25" s="17"/>
      <c r="M25" s="18"/>
      <c r="N25" s="18"/>
      <c r="O25" s="18"/>
      <c r="P25" s="18"/>
      <c r="Q25" s="18"/>
      <c r="R25" s="18"/>
      <c r="S25" s="17"/>
    </row>
    <row r="26" spans="1:20" ht="18" customHeight="1" x14ac:dyDescent="0.25">
      <c r="B26" s="17"/>
      <c r="C26" s="110" t="str">
        <f>IF(AND(Menus!E10&gt;0,$G$8&lt;&gt;""),"Valor Corrigido","")</f>
        <v/>
      </c>
      <c r="D26" s="111"/>
      <c r="E26" s="111"/>
      <c r="F26" s="112"/>
      <c r="G26" s="113" t="str">
        <f>IF(OR(G8="",G16="",G18=""),"",(G16/G20*IF(Menus!D6=FALSE,G10,G24)))</f>
        <v/>
      </c>
      <c r="H26" s="114"/>
      <c r="I26" s="56"/>
      <c r="J26" s="14"/>
      <c r="K26" s="14"/>
      <c r="L26" s="17"/>
      <c r="M26" s="101" t="b">
        <f>IF(FORMULÁRIO!G8&lt;&gt;"",IF(Menus!D6=TRUE,"Selic","Juros"))</f>
        <v>0</v>
      </c>
      <c r="N26" s="101"/>
      <c r="O26" s="101"/>
      <c r="P26" s="101"/>
      <c r="Q26" s="100" t="str">
        <f>IF(AND(Menus!E10&gt;1),"ERRO",IF(AND(G26&lt;&gt;"",Q16&lt;&gt;"",Q22&lt;&gt;"",Q24&lt;&gt;""),G26*(SUM(Q18:R20)),""))</f>
        <v/>
      </c>
      <c r="R26" s="100"/>
      <c r="S26" s="17"/>
    </row>
    <row r="27" spans="1:20" ht="4.1500000000000004" customHeight="1" x14ac:dyDescent="0.25">
      <c r="B27" s="17"/>
      <c r="C27" s="18"/>
      <c r="D27" s="18"/>
      <c r="E27" s="18"/>
      <c r="F27" s="18"/>
      <c r="G27" s="55"/>
      <c r="H27" s="18"/>
      <c r="I27" s="17"/>
      <c r="J27" s="14"/>
      <c r="K27" s="14"/>
      <c r="L27" s="17"/>
      <c r="M27" s="17"/>
      <c r="N27" s="17"/>
      <c r="O27" s="17"/>
      <c r="P27" s="17"/>
      <c r="Q27" s="17"/>
      <c r="R27" s="17"/>
      <c r="S27" s="17"/>
    </row>
    <row r="28" spans="1:20" s="14" customFormat="1" ht="4.1500000000000004" customHeight="1" x14ac:dyDescent="0.25"/>
    <row r="29" spans="1:20" ht="4.1500000000000004" customHeight="1" x14ac:dyDescent="0.25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</row>
    <row r="30" spans="1:20" s="23" customFormat="1" ht="4.1500000000000004" customHeight="1" x14ac:dyDescent="0.25">
      <c r="A30" s="22"/>
      <c r="B30" s="18"/>
      <c r="C30" s="109"/>
      <c r="D30" s="109"/>
      <c r="E30" s="10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22"/>
    </row>
    <row r="31" spans="1:20" ht="4.1500000000000004" customHeight="1" x14ac:dyDescent="0.25">
      <c r="B31" s="17"/>
      <c r="C31" s="17"/>
      <c r="D31" s="17"/>
      <c r="E31" s="17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7"/>
      <c r="Q31" s="17"/>
      <c r="R31" s="17"/>
      <c r="S31" s="17"/>
    </row>
    <row r="32" spans="1:20" s="23" customFormat="1" ht="18" customHeight="1" x14ac:dyDescent="0.25">
      <c r="A32" s="22"/>
      <c r="B32" s="18"/>
      <c r="C32" s="18"/>
      <c r="D32" s="18"/>
      <c r="E32" s="18"/>
      <c r="F32" s="97" t="str">
        <f>IF(AND(G26&lt;&gt;"",Q16="Não"),"Principal com Correção",IF(AND(G26&lt;&gt;"",Q16="Sim",Q26&lt;&gt;""),"Principal com Correção e Juros",""))</f>
        <v/>
      </c>
      <c r="G32" s="98"/>
      <c r="H32" s="98"/>
      <c r="I32" s="98"/>
      <c r="J32" s="99"/>
      <c r="K32" s="93" t="str">
        <f>IF(AND(G22=0),"",IF(AND(Q16="Sim",Q22&lt;&gt;"",Q24&lt;&gt;""),G26+Q26,IF(Q16="Não",G26,"")))</f>
        <v/>
      </c>
      <c r="L32" s="131"/>
      <c r="M32" s="131"/>
      <c r="N32" s="131"/>
      <c r="O32" s="94"/>
      <c r="P32" s="18"/>
      <c r="Q32" s="18"/>
      <c r="R32" s="18"/>
      <c r="S32" s="18"/>
      <c r="T32" s="22"/>
    </row>
    <row r="33" spans="1:20" ht="4.1500000000000004" customHeight="1" x14ac:dyDescent="0.25">
      <c r="B33" s="17"/>
      <c r="C33" s="17"/>
      <c r="D33" s="17"/>
      <c r="E33" s="17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7"/>
      <c r="Q33" s="17"/>
      <c r="R33" s="17"/>
      <c r="S33" s="17"/>
    </row>
    <row r="34" spans="1:20" s="23" customFormat="1" ht="4.1500000000000004" customHeight="1" x14ac:dyDescent="0.25">
      <c r="A34" s="22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22"/>
    </row>
    <row r="35" spans="1:20" ht="4.1500000000000004" customHeight="1" x14ac:dyDescent="0.25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</row>
    <row r="36" spans="1:20" s="14" customFormat="1" ht="4.1500000000000004" customHeight="1" x14ac:dyDescent="0.25"/>
    <row r="37" spans="1:20" ht="4.1500000000000004" customHeight="1" x14ac:dyDescent="0.25">
      <c r="B37" s="17"/>
      <c r="C37" s="17"/>
      <c r="D37" s="17"/>
      <c r="E37" s="17"/>
      <c r="F37" s="17"/>
      <c r="G37" s="17"/>
      <c r="H37" s="17"/>
      <c r="I37" s="17"/>
      <c r="L37" s="17"/>
      <c r="M37" s="17"/>
      <c r="N37" s="17"/>
      <c r="O37" s="17"/>
      <c r="P37" s="17"/>
      <c r="Q37" s="17"/>
      <c r="R37" s="17"/>
      <c r="S37" s="17"/>
    </row>
    <row r="38" spans="1:20" ht="18" customHeight="1" x14ac:dyDescent="0.25">
      <c r="B38" s="17"/>
      <c r="C38" s="109" t="s">
        <v>3</v>
      </c>
      <c r="D38" s="109"/>
      <c r="E38" s="109"/>
      <c r="F38" s="109"/>
      <c r="G38" s="109"/>
      <c r="H38" s="109"/>
      <c r="I38" s="17"/>
      <c r="L38" s="17"/>
      <c r="M38" s="109" t="s">
        <v>4</v>
      </c>
      <c r="N38" s="109"/>
      <c r="O38" s="109"/>
      <c r="P38" s="109"/>
      <c r="Q38" s="109"/>
      <c r="R38" s="109"/>
      <c r="S38" s="17"/>
    </row>
    <row r="39" spans="1:20" ht="36" customHeight="1" x14ac:dyDescent="0.25">
      <c r="B39" s="17"/>
      <c r="C39" s="123" t="str">
        <f>IF(D41="","SELECIONE A BASE DE CÁLCULO NO MENU ABAIXO",IF(AND(D41="Valor da Condenação",G43=""),"VERIFIQUE CORREÇÃO MONETÁRIA E JUROS MORATÓRIOS",IF(AND(D41="Valor da Condenação",G43&lt;&gt;"",G45=""),"INDIQUE A PORCENTAGEM APLICADA, DENTRE O MÍNIMO DE DEZ E O MÁXIMO DE 20 POR CENTO!","")))</f>
        <v/>
      </c>
      <c r="D39" s="123"/>
      <c r="E39" s="123"/>
      <c r="F39" s="123"/>
      <c r="G39" s="123"/>
      <c r="H39" s="123"/>
      <c r="I39" s="17"/>
      <c r="L39" s="17"/>
      <c r="M39" s="17"/>
      <c r="N39" s="17"/>
      <c r="O39" s="17"/>
      <c r="P39" s="17"/>
      <c r="Q39" s="17"/>
      <c r="R39" s="17"/>
      <c r="S39" s="17"/>
    </row>
    <row r="40" spans="1:20" ht="4.1500000000000004" customHeight="1" thickBot="1" x14ac:dyDescent="0.3">
      <c r="B40" s="17"/>
      <c r="C40" s="24"/>
      <c r="D40" s="17"/>
      <c r="E40" s="17"/>
      <c r="F40" s="17"/>
      <c r="G40" s="17"/>
      <c r="H40" s="17"/>
      <c r="I40" s="17"/>
      <c r="L40" s="17"/>
      <c r="M40" s="17"/>
      <c r="N40" s="17"/>
      <c r="O40" s="17"/>
      <c r="P40" s="17"/>
      <c r="Q40" s="17"/>
      <c r="R40" s="17"/>
      <c r="S40" s="17"/>
    </row>
    <row r="41" spans="1:20" ht="18" customHeight="1" thickBot="1" x14ac:dyDescent="0.3">
      <c r="B41" s="17"/>
      <c r="C41" s="17"/>
      <c r="D41" s="120" t="s">
        <v>58</v>
      </c>
      <c r="E41" s="121"/>
      <c r="F41" s="121"/>
      <c r="G41" s="122"/>
      <c r="H41" s="17"/>
      <c r="I41" s="17"/>
      <c r="L41" s="17"/>
      <c r="M41" s="127" t="s">
        <v>5</v>
      </c>
      <c r="N41" s="127"/>
      <c r="O41" s="19" t="s">
        <v>6</v>
      </c>
      <c r="P41" s="19" t="s">
        <v>7</v>
      </c>
      <c r="Q41" s="19" t="s">
        <v>8</v>
      </c>
      <c r="R41" s="19" t="s">
        <v>9</v>
      </c>
      <c r="S41" s="17"/>
    </row>
    <row r="42" spans="1:20" ht="4.1500000000000004" customHeight="1" x14ac:dyDescent="0.25">
      <c r="B42" s="17"/>
      <c r="C42" s="17"/>
      <c r="D42" s="17"/>
      <c r="E42" s="17"/>
      <c r="F42" s="17"/>
      <c r="G42" s="17"/>
      <c r="H42" s="17"/>
      <c r="I42" s="17"/>
      <c r="L42" s="17"/>
      <c r="M42" s="18"/>
      <c r="N42" s="18"/>
      <c r="O42" s="18"/>
      <c r="P42" s="18"/>
      <c r="Q42" s="18"/>
      <c r="R42" s="18"/>
      <c r="S42" s="17"/>
    </row>
    <row r="43" spans="1:20" ht="18" customHeight="1" x14ac:dyDescent="0.25">
      <c r="B43" s="17"/>
      <c r="C43" s="97" t="str">
        <f>IF(D41="Valor da Condenação","Valor da Condenação","")</f>
        <v/>
      </c>
      <c r="D43" s="98"/>
      <c r="E43" s="98"/>
      <c r="F43" s="99"/>
      <c r="G43" s="93" t="str">
        <f>IFERROR(IF(K32=0,"",K32),"")</f>
        <v/>
      </c>
      <c r="H43" s="94"/>
      <c r="I43" s="17"/>
      <c r="L43" s="17"/>
      <c r="M43" s="161"/>
      <c r="N43" s="162"/>
      <c r="O43" s="25"/>
      <c r="P43" s="26" t="str">
        <f>IF(M43="","",VLOOKUP(M43,ÍNDICES!A$3:K$926,$E$10))</f>
        <v/>
      </c>
      <c r="Q43" s="27"/>
      <c r="R43" s="28" t="str">
        <f>IF(OR($G$8="",M43="",Q43=""),"",Q43/P43*G$10)</f>
        <v/>
      </c>
      <c r="S43" s="17"/>
    </row>
    <row r="44" spans="1:20" ht="4.1500000000000004" customHeight="1" x14ac:dyDescent="0.25">
      <c r="B44" s="17"/>
      <c r="C44" s="17"/>
      <c r="D44" s="17"/>
      <c r="E44" s="17"/>
      <c r="F44" s="17"/>
      <c r="G44" s="17"/>
      <c r="H44" s="17"/>
      <c r="I44" s="17"/>
      <c r="L44" s="17"/>
      <c r="M44" s="18"/>
      <c r="N44" s="18"/>
      <c r="O44" s="20"/>
      <c r="P44" s="20"/>
      <c r="Q44" s="29"/>
      <c r="R44" s="30"/>
      <c r="S44" s="17"/>
    </row>
    <row r="45" spans="1:20" ht="18" customHeight="1" x14ac:dyDescent="0.25">
      <c r="B45" s="17"/>
      <c r="C45" s="101" t="str">
        <f>IF(D41="Valor da Condenação","% Aplicada","")</f>
        <v/>
      </c>
      <c r="D45" s="101"/>
      <c r="E45" s="101"/>
      <c r="F45" s="101"/>
      <c r="G45" s="92"/>
      <c r="H45" s="92"/>
      <c r="I45" s="17"/>
      <c r="L45" s="17"/>
      <c r="M45" s="161"/>
      <c r="N45" s="162"/>
      <c r="O45" s="25"/>
      <c r="P45" s="26" t="str">
        <f>IF(M45="","",VLOOKUP(M45,ÍNDICES!A$3:K$926,$E$10))</f>
        <v/>
      </c>
      <c r="Q45" s="27"/>
      <c r="R45" s="28" t="str">
        <f>IF(OR($G$8="",M45="",Q45=""),"",Q45/P45*G$10)</f>
        <v/>
      </c>
      <c r="S45" s="17"/>
    </row>
    <row r="46" spans="1:20" ht="4.1500000000000004" customHeight="1" x14ac:dyDescent="0.25">
      <c r="B46" s="17"/>
      <c r="C46" s="17"/>
      <c r="D46" s="17"/>
      <c r="E46" s="17"/>
      <c r="F46" s="17"/>
      <c r="G46" s="17"/>
      <c r="H46" s="17"/>
      <c r="I46" s="17"/>
      <c r="L46" s="17"/>
      <c r="M46" s="18"/>
      <c r="N46" s="18"/>
      <c r="O46" s="20"/>
      <c r="P46" s="20"/>
      <c r="Q46" s="29"/>
      <c r="R46" s="30"/>
      <c r="S46" s="17"/>
    </row>
    <row r="47" spans="1:20" ht="18" customHeight="1" x14ac:dyDescent="0.25">
      <c r="B47" s="17"/>
      <c r="C47" s="101" t="str">
        <f>IF(D41="Valor da Condenação","Valor dos Honorários","")</f>
        <v/>
      </c>
      <c r="D47" s="101"/>
      <c r="E47" s="101"/>
      <c r="F47" s="101"/>
      <c r="G47" s="100" t="str">
        <f>IF(OR(G43="",G45=""),"",G43*G45)</f>
        <v/>
      </c>
      <c r="H47" s="107"/>
      <c r="I47" s="17"/>
      <c r="L47" s="17"/>
      <c r="M47" s="161"/>
      <c r="N47" s="162"/>
      <c r="O47" s="25"/>
      <c r="P47" s="26" t="str">
        <f>IF(M47="","",VLOOKUP(M47,ÍNDICES!A$3:K$926,$E$10))</f>
        <v/>
      </c>
      <c r="Q47" s="27"/>
      <c r="R47" s="28" t="str">
        <f>IF(OR($G$8="",M47="",Q47=""),"",Q47/P47*G$10)</f>
        <v/>
      </c>
      <c r="S47" s="17"/>
    </row>
    <row r="48" spans="1:20" ht="4.1500000000000004" customHeight="1" x14ac:dyDescent="0.25">
      <c r="B48" s="17"/>
      <c r="C48" s="17"/>
      <c r="D48" s="17"/>
      <c r="E48" s="17"/>
      <c r="F48" s="17"/>
      <c r="G48" s="17"/>
      <c r="H48" s="17"/>
      <c r="I48" s="17"/>
      <c r="L48" s="17"/>
      <c r="M48" s="18"/>
      <c r="N48" s="18"/>
      <c r="O48" s="20"/>
      <c r="P48" s="20"/>
      <c r="Q48" s="29"/>
      <c r="R48" s="30"/>
      <c r="S48" s="17"/>
    </row>
    <row r="49" spans="2:19" ht="18" customHeight="1" x14ac:dyDescent="0.25">
      <c r="B49" s="17"/>
      <c r="C49" s="127" t="s">
        <v>10</v>
      </c>
      <c r="D49" s="127"/>
      <c r="E49" s="127"/>
      <c r="F49" s="127"/>
      <c r="G49" s="108"/>
      <c r="H49" s="109"/>
      <c r="I49" s="17"/>
      <c r="L49" s="17"/>
      <c r="M49" s="161"/>
      <c r="N49" s="162"/>
      <c r="O49" s="25"/>
      <c r="P49" s="26" t="str">
        <f>IF(M49="","",VLOOKUP(M49,ÍNDICES!A$3:K$926,$E$10))</f>
        <v/>
      </c>
      <c r="Q49" s="27"/>
      <c r="R49" s="28" t="str">
        <f>IF(OR($G$8="",M49="",Q49=""),"",Q49/P49*G$10)</f>
        <v/>
      </c>
      <c r="S49" s="17"/>
    </row>
    <row r="50" spans="2:19" ht="3" customHeight="1" x14ac:dyDescent="0.25">
      <c r="B50" s="17"/>
      <c r="C50" s="31"/>
      <c r="D50" s="31"/>
      <c r="E50" s="31"/>
      <c r="F50" s="31"/>
      <c r="G50" s="32"/>
      <c r="H50" s="33"/>
      <c r="I50" s="17"/>
      <c r="L50" s="17"/>
      <c r="M50" s="34"/>
      <c r="N50" s="34"/>
      <c r="O50" s="34"/>
      <c r="P50" s="20"/>
      <c r="Q50" s="35"/>
      <c r="R50" s="30"/>
      <c r="S50" s="17"/>
    </row>
    <row r="51" spans="2:19" ht="18" customHeight="1" x14ac:dyDescent="0.25">
      <c r="B51" s="17"/>
      <c r="C51" s="127"/>
      <c r="D51" s="127"/>
      <c r="E51" s="127"/>
      <c r="F51" s="127"/>
      <c r="G51" s="108" t="s">
        <v>11</v>
      </c>
      <c r="H51" s="108"/>
      <c r="I51" s="17"/>
      <c r="L51" s="17"/>
      <c r="M51" s="161"/>
      <c r="N51" s="162"/>
      <c r="O51" s="25"/>
      <c r="P51" s="26" t="str">
        <f>IF(M51="","",VLOOKUP(M51,ÍNDICES!A$3:K$926,$E$10))</f>
        <v/>
      </c>
      <c r="Q51" s="27"/>
      <c r="R51" s="28" t="str">
        <f>IF(OR($G$8="",M51="",Q51=""),"",Q51/P51*G$10)</f>
        <v/>
      </c>
      <c r="S51" s="17"/>
    </row>
    <row r="52" spans="2:19" ht="4.1500000000000004" customHeight="1" x14ac:dyDescent="0.25">
      <c r="B52" s="17"/>
      <c r="C52" s="18"/>
      <c r="D52" s="18"/>
      <c r="E52" s="18"/>
      <c r="F52" s="17"/>
      <c r="G52" s="17"/>
      <c r="H52" s="17"/>
      <c r="I52" s="17"/>
      <c r="L52" s="17"/>
      <c r="M52" s="18"/>
      <c r="N52" s="18"/>
      <c r="O52" s="20"/>
      <c r="P52" s="20"/>
      <c r="Q52" s="29"/>
      <c r="R52" s="30"/>
      <c r="S52" s="17"/>
    </row>
    <row r="53" spans="2:19" ht="18" customHeight="1" x14ac:dyDescent="0.25">
      <c r="B53" s="17"/>
      <c r="C53" s="128" t="str">
        <f>IF(AND(D41="Outra Forma de Cálculo",D55=""),"SELECIONE A FORMA DE CÁLCULO NO MENU ABAIXO",IF(AND(D41="Outra Forma de Cálculo",D55="Valor Arbitrado",OR(G57="",G59="",G65="",G69="")),"PREENCHA OS CAMPOS EM BRANCO",IF(AND(D41="Outra Forma de Cálculo",D55="Valor da Causa",OR(G57="",G59="",G65="",G69="",G73="")),"PREENCHA OS CAMPOS EM BRANCO","")))</f>
        <v>SELECIONE A FORMA DE CÁLCULO NO MENU ABAIXO</v>
      </c>
      <c r="D53" s="128"/>
      <c r="E53" s="128"/>
      <c r="F53" s="128"/>
      <c r="G53" s="128"/>
      <c r="H53" s="128"/>
      <c r="I53" s="17"/>
      <c r="L53" s="17"/>
      <c r="M53" s="161"/>
      <c r="N53" s="164"/>
      <c r="O53" s="25"/>
      <c r="P53" s="26" t="str">
        <f>IF(M53="","",VLOOKUP(M53,ÍNDICES!A$3:K$926,$E$10))</f>
        <v/>
      </c>
      <c r="Q53" s="27"/>
      <c r="R53" s="28" t="str">
        <f>IF(OR($G$8="",M53="",Q53=""),"",Q53/P53*G$10)</f>
        <v/>
      </c>
      <c r="S53" s="17"/>
    </row>
    <row r="54" spans="2:19" ht="4.1500000000000004" customHeight="1" thickBot="1" x14ac:dyDescent="0.3">
      <c r="B54" s="17"/>
      <c r="C54" s="36"/>
      <c r="D54" s="36"/>
      <c r="E54" s="36"/>
      <c r="F54" s="36"/>
      <c r="G54" s="36"/>
      <c r="H54" s="36"/>
      <c r="I54" s="17"/>
      <c r="L54" s="17"/>
      <c r="M54" s="18"/>
      <c r="N54" s="18"/>
      <c r="O54" s="20"/>
      <c r="P54" s="20"/>
      <c r="Q54" s="29"/>
      <c r="R54" s="30"/>
      <c r="S54" s="17"/>
    </row>
    <row r="55" spans="2:19" ht="18" customHeight="1" thickBot="1" x14ac:dyDescent="0.3">
      <c r="B55" s="17"/>
      <c r="C55" s="17"/>
      <c r="D55" s="120"/>
      <c r="E55" s="121"/>
      <c r="F55" s="121"/>
      <c r="G55" s="122"/>
      <c r="H55" s="17"/>
      <c r="I55" s="17"/>
      <c r="L55" s="17"/>
      <c r="M55" s="161"/>
      <c r="N55" s="162"/>
      <c r="O55" s="25"/>
      <c r="P55" s="26" t="str">
        <f>IF(M55="","",VLOOKUP(M55,ÍNDICES!A$3:K$926,$E$10))</f>
        <v/>
      </c>
      <c r="Q55" s="27"/>
      <c r="R55" s="28" t="str">
        <f>IF(OR($G$8="",M55="",Q55=""),"",Q55/P55*G$10)</f>
        <v/>
      </c>
      <c r="S55" s="17"/>
    </row>
    <row r="56" spans="2:19" ht="4.1500000000000004" customHeight="1" x14ac:dyDescent="0.25">
      <c r="B56" s="17"/>
      <c r="C56" s="17"/>
      <c r="D56" s="17"/>
      <c r="E56" s="17"/>
      <c r="F56" s="17"/>
      <c r="G56" s="17"/>
      <c r="H56" s="17"/>
      <c r="I56" s="17"/>
      <c r="L56" s="17"/>
      <c r="M56" s="18"/>
      <c r="N56" s="18"/>
      <c r="O56" s="20"/>
      <c r="P56" s="20"/>
      <c r="Q56" s="29"/>
      <c r="R56" s="30"/>
      <c r="S56" s="17"/>
    </row>
    <row r="57" spans="2:19" ht="18" customHeight="1" x14ac:dyDescent="0.25">
      <c r="B57" s="17"/>
      <c r="C57" s="101" t="str">
        <f>IF(D55="Valor Arbitrado","Valor do Arbitramento",IF(D55="Valor da Causa","Valor da Causa",""))</f>
        <v/>
      </c>
      <c r="D57" s="101"/>
      <c r="E57" s="101"/>
      <c r="F57" s="101"/>
      <c r="G57" s="124"/>
      <c r="H57" s="124"/>
      <c r="I57" s="17"/>
      <c r="L57" s="17"/>
      <c r="M57" s="161"/>
      <c r="N57" s="162"/>
      <c r="O57" s="25"/>
      <c r="P57" s="26" t="str">
        <f>IF(M57="","",VLOOKUP(M57,ÍNDICES!A$3:K$926,$E$10))</f>
        <v/>
      </c>
      <c r="Q57" s="27"/>
      <c r="R57" s="28" t="str">
        <f>IF(OR($G$8="",M57="",Q57=""),"",Q57/P57*G$10)</f>
        <v/>
      </c>
      <c r="S57" s="17"/>
    </row>
    <row r="58" spans="2:19" ht="4.1500000000000004" customHeight="1" x14ac:dyDescent="0.25">
      <c r="B58" s="17"/>
      <c r="C58" s="18"/>
      <c r="D58" s="18"/>
      <c r="E58" s="18"/>
      <c r="F58" s="18"/>
      <c r="G58" s="18"/>
      <c r="H58" s="18"/>
      <c r="I58" s="17"/>
      <c r="L58" s="17"/>
      <c r="M58" s="18"/>
      <c r="N58" s="18"/>
      <c r="O58" s="20"/>
      <c r="P58" s="20"/>
      <c r="Q58" s="29"/>
      <c r="R58" s="30"/>
      <c r="S58" s="17"/>
    </row>
    <row r="59" spans="2:19" ht="18" customHeight="1" x14ac:dyDescent="0.25">
      <c r="B59" s="17"/>
      <c r="C59" s="101" t="str">
        <f>IF(D55="Valor Arbitrado","Data do Arbitramento",IF(D55="Valor da Causa","Data do Ajuizamento",""))</f>
        <v/>
      </c>
      <c r="D59" s="101"/>
      <c r="E59" s="101"/>
      <c r="F59" s="101"/>
      <c r="G59" s="106"/>
      <c r="H59" s="106"/>
      <c r="I59" s="17"/>
      <c r="L59" s="17"/>
      <c r="M59" s="161"/>
      <c r="N59" s="162"/>
      <c r="O59" s="25"/>
      <c r="P59" s="26" t="str">
        <f>IF(M59="","",VLOOKUP(M59,ÍNDICES!A$3:K$926,$E$10))</f>
        <v/>
      </c>
      <c r="Q59" s="27"/>
      <c r="R59" s="28" t="str">
        <f>IF(OR($G$8="",M59="",Q59=""),"",Q59/P59*G$10)</f>
        <v/>
      </c>
      <c r="S59" s="17"/>
    </row>
    <row r="60" spans="2:19" ht="4.1500000000000004" customHeight="1" x14ac:dyDescent="0.25">
      <c r="B60" s="17"/>
      <c r="C60" s="18"/>
      <c r="D60" s="18"/>
      <c r="E60" s="18"/>
      <c r="F60" s="18"/>
      <c r="G60" s="18"/>
      <c r="H60" s="18"/>
      <c r="I60" s="17"/>
      <c r="L60" s="17"/>
      <c r="M60" s="18"/>
      <c r="N60" s="18"/>
      <c r="O60" s="20"/>
      <c r="P60" s="20"/>
      <c r="Q60" s="29"/>
      <c r="R60" s="30"/>
      <c r="S60" s="17"/>
    </row>
    <row r="61" spans="2:19" ht="18" customHeight="1" x14ac:dyDescent="0.25">
      <c r="B61" s="17"/>
      <c r="C61" s="105" t="s">
        <v>12</v>
      </c>
      <c r="D61" s="105"/>
      <c r="E61" s="105"/>
      <c r="F61" s="105"/>
      <c r="G61" s="102" t="str">
        <f>IF(G59="","",VLOOKUP(G59,ÍNDICES!A$3:K$926,$E$10))</f>
        <v/>
      </c>
      <c r="H61" s="102"/>
      <c r="I61" s="17"/>
      <c r="L61" s="17"/>
      <c r="M61" s="161"/>
      <c r="N61" s="162"/>
      <c r="O61" s="25"/>
      <c r="P61" s="26" t="str">
        <f>IF(M61="","",VLOOKUP(M61,ÍNDICES!A$3:K$926,$E$10))</f>
        <v/>
      </c>
      <c r="Q61" s="27"/>
      <c r="R61" s="28" t="str">
        <f>IF(OR($G$8="",M61="",Q61=""),"",Q61/P61*G$10)</f>
        <v/>
      </c>
      <c r="S61" s="17"/>
    </row>
    <row r="62" spans="2:19" ht="4.1500000000000004" customHeight="1" x14ac:dyDescent="0.25">
      <c r="B62" s="17"/>
      <c r="C62" s="18"/>
      <c r="D62" s="18"/>
      <c r="E62" s="18"/>
      <c r="F62" s="18"/>
      <c r="G62" s="18"/>
      <c r="H62" s="18"/>
      <c r="I62" s="17"/>
      <c r="L62" s="17"/>
      <c r="M62" s="18"/>
      <c r="N62" s="18"/>
      <c r="O62" s="20"/>
      <c r="P62" s="20"/>
      <c r="Q62" s="29"/>
      <c r="R62" s="30"/>
      <c r="S62" s="17"/>
    </row>
    <row r="63" spans="2:19" ht="18" customHeight="1" x14ac:dyDescent="0.25">
      <c r="B63" s="17"/>
      <c r="C63" s="101" t="s">
        <v>9</v>
      </c>
      <c r="D63" s="101"/>
      <c r="E63" s="101"/>
      <c r="F63" s="101"/>
      <c r="G63" s="100" t="str">
        <f>IF(OR(G57="",G59=""),"",(G57/G61*G10))</f>
        <v/>
      </c>
      <c r="H63" s="100"/>
      <c r="I63" s="17"/>
      <c r="L63" s="17"/>
      <c r="M63" s="161"/>
      <c r="N63" s="162"/>
      <c r="O63" s="25"/>
      <c r="P63" s="26" t="str">
        <f>IF(M63="","",VLOOKUP(M63,ÍNDICES!A$3:K$926,$E$10))</f>
        <v/>
      </c>
      <c r="Q63" s="27"/>
      <c r="R63" s="28" t="str">
        <f>IF(OR($G$8="",M63="",Q63=""),"",Q63/P63*G$10)</f>
        <v/>
      </c>
      <c r="S63" s="17"/>
    </row>
    <row r="64" spans="2:19" ht="4.1500000000000004" customHeight="1" x14ac:dyDescent="0.25">
      <c r="B64" s="17"/>
      <c r="C64" s="18"/>
      <c r="D64" s="18"/>
      <c r="E64" s="18"/>
      <c r="F64" s="18"/>
      <c r="G64" s="18"/>
      <c r="H64" s="18"/>
      <c r="I64" s="17"/>
      <c r="L64" s="17"/>
      <c r="M64" s="18"/>
      <c r="N64" s="18"/>
      <c r="O64" s="20"/>
      <c r="P64" s="20"/>
      <c r="Q64" s="29"/>
      <c r="R64" s="30"/>
      <c r="S64" s="17"/>
    </row>
    <row r="65" spans="2:19" ht="18" customHeight="1" x14ac:dyDescent="0.25">
      <c r="B65" s="17"/>
      <c r="C65" s="101" t="s">
        <v>13</v>
      </c>
      <c r="D65" s="101"/>
      <c r="E65" s="101"/>
      <c r="F65" s="101"/>
      <c r="G65" s="104"/>
      <c r="H65" s="104"/>
      <c r="I65" s="17"/>
      <c r="L65" s="17"/>
      <c r="M65" s="161"/>
      <c r="N65" s="162"/>
      <c r="O65" s="25"/>
      <c r="P65" s="26" t="str">
        <f>IF(M65="","",VLOOKUP(M65,ÍNDICES!A$3:K$926,$E$10))</f>
        <v/>
      </c>
      <c r="Q65" s="27"/>
      <c r="R65" s="28" t="str">
        <f>IF(OR($G$8="",M65="",Q65=""),"",Q65/P65*G$10)</f>
        <v/>
      </c>
      <c r="S65" s="17"/>
    </row>
    <row r="66" spans="2:19" ht="4.1500000000000004" customHeight="1" x14ac:dyDescent="0.25">
      <c r="B66" s="17"/>
      <c r="C66" s="18"/>
      <c r="D66" s="18"/>
      <c r="E66" s="18"/>
      <c r="F66" s="18"/>
      <c r="G66" s="18"/>
      <c r="H66" s="18"/>
      <c r="I66" s="17"/>
      <c r="L66" s="17"/>
      <c r="M66" s="18"/>
      <c r="N66" s="18"/>
      <c r="O66" s="20"/>
      <c r="P66" s="20"/>
      <c r="Q66" s="29"/>
      <c r="R66" s="30"/>
      <c r="S66" s="17"/>
    </row>
    <row r="67" spans="2:19" ht="18" customHeight="1" x14ac:dyDescent="0.25">
      <c r="B67" s="17"/>
      <c r="C67" s="105" t="s">
        <v>82</v>
      </c>
      <c r="D67" s="105"/>
      <c r="E67" s="105"/>
      <c r="F67" s="105"/>
      <c r="G67" s="103" t="s">
        <v>83</v>
      </c>
      <c r="H67" s="103"/>
      <c r="I67" s="17"/>
      <c r="L67" s="17"/>
      <c r="M67" s="161"/>
      <c r="N67" s="162"/>
      <c r="O67" s="25"/>
      <c r="P67" s="26" t="str">
        <f>IF(M67="","",VLOOKUP(M67,ÍNDICES!A$3:K$926,$E$10))</f>
        <v/>
      </c>
      <c r="Q67" s="27"/>
      <c r="R67" s="28" t="str">
        <f>IF(OR($G$8="",M67="",Q67=""),"",Q67/P67*G$10)</f>
        <v/>
      </c>
      <c r="S67" s="17"/>
    </row>
    <row r="68" spans="2:19" ht="4.1500000000000004" customHeight="1" x14ac:dyDescent="0.25">
      <c r="B68" s="17"/>
      <c r="C68" s="18"/>
      <c r="D68" s="18"/>
      <c r="E68" s="18"/>
      <c r="F68" s="18"/>
      <c r="G68" s="18"/>
      <c r="H68" s="18"/>
      <c r="I68" s="17"/>
      <c r="L68" s="17"/>
      <c r="M68" s="18"/>
      <c r="N68" s="18"/>
      <c r="O68" s="20"/>
      <c r="P68" s="20"/>
      <c r="Q68" s="29"/>
      <c r="R68" s="30"/>
      <c r="S68" s="17"/>
    </row>
    <row r="69" spans="2:19" ht="18" customHeight="1" x14ac:dyDescent="0.25">
      <c r="B69" s="17"/>
      <c r="C69" s="101" t="s">
        <v>14</v>
      </c>
      <c r="D69" s="101"/>
      <c r="E69" s="101"/>
      <c r="F69" s="101"/>
      <c r="G69" s="95"/>
      <c r="H69" s="96"/>
      <c r="I69" s="17"/>
      <c r="L69" s="17"/>
      <c r="M69" s="161"/>
      <c r="N69" s="162"/>
      <c r="O69" s="25"/>
      <c r="P69" s="26" t="str">
        <f>IF(M69="","",VLOOKUP(M69,ÍNDICES!A$3:K$926,$E$10))</f>
        <v/>
      </c>
      <c r="Q69" s="27"/>
      <c r="R69" s="28" t="str">
        <f>IF(OR($G$8="",M69="",Q69=""),"",Q69/P69*G$10)</f>
        <v/>
      </c>
      <c r="S69" s="17"/>
    </row>
    <row r="70" spans="2:19" ht="4.1500000000000004" customHeight="1" x14ac:dyDescent="0.25">
      <c r="B70" s="17"/>
      <c r="C70" s="18"/>
      <c r="D70" s="18"/>
      <c r="E70" s="18"/>
      <c r="F70" s="18"/>
      <c r="G70" s="18"/>
      <c r="H70" s="18"/>
      <c r="I70" s="17"/>
      <c r="L70" s="17"/>
      <c r="M70" s="18"/>
      <c r="N70" s="18"/>
      <c r="O70" s="20"/>
      <c r="P70" s="20"/>
      <c r="Q70" s="29"/>
      <c r="R70" s="30"/>
      <c r="S70" s="17"/>
    </row>
    <row r="71" spans="2:19" ht="18" customHeight="1" x14ac:dyDescent="0.25">
      <c r="B71" s="17"/>
      <c r="C71" s="101" t="s">
        <v>15</v>
      </c>
      <c r="D71" s="101"/>
      <c r="E71" s="101"/>
      <c r="F71" s="101"/>
      <c r="G71" s="93">
        <f>IF(OR(G69=0,G69="",M18="",G63=0,G63="",G65="Não",G65=""),0,G63*IF(G67="1% a.m.",1%*MAX(0,TRUNC(DAYS360(DATE(YEAR(G69),MONTH(G69),1),DATE(YEAR(G8),MONTH(G8),1))/30,0)),SUM(IF(OR(G69=0,G69="",M18=""),"",MAX(0,0.5%*TRUNC(DAYS360(DATE(YEAR(G69),MONTH(G69),1),DATE(2003,10,1))/30,0))+1%*MAX(TRUNC(DAYS360(MAX(DATE(2003,10,1),DATE(YEAR(G69),MONTH(G69),1)),IF(Menus!B6=2,MIN(DATE(YEAR(Q24),MONTH(Q24),1),DATE(2024,8,28)),DATE(YEAR(Q24),MONTH(Q24),1)))/30,0),0)),IF(M20="","",MAX(VLOOKUP(G8,ÍNDICES!A$3:K$926,IF(Menus!D6=TRUE,6,7))-VLOOKUP(MAX(IF(M18="",0,DATE(2024,8,28)),G69),ÍNDICES!A$3:K$926,IF(Menus!D6=TRUE,6,7)),0)))))</f>
        <v>0</v>
      </c>
      <c r="H71" s="94"/>
      <c r="I71" s="17"/>
      <c r="L71" s="17"/>
      <c r="M71" s="161"/>
      <c r="N71" s="162"/>
      <c r="O71" s="25"/>
      <c r="P71" s="26" t="str">
        <f>IF(M71="","",VLOOKUP(M71,ÍNDICES!A$3:K$926,$E$10))</f>
        <v/>
      </c>
      <c r="Q71" s="27"/>
      <c r="R71" s="28" t="str">
        <f>IF(OR($G$8="",M71="",Q71=""),"",Q71/P71*G$10)</f>
        <v/>
      </c>
      <c r="S71" s="17"/>
    </row>
    <row r="72" spans="2:19" ht="4.1500000000000004" customHeight="1" x14ac:dyDescent="0.25">
      <c r="B72" s="17"/>
      <c r="C72" s="18"/>
      <c r="D72" s="18"/>
      <c r="E72" s="18"/>
      <c r="F72" s="18"/>
      <c r="G72" s="18"/>
      <c r="H72" s="18"/>
      <c r="I72" s="17"/>
      <c r="L72" s="17"/>
      <c r="M72" s="18"/>
      <c r="N72" s="18"/>
      <c r="O72" s="20"/>
      <c r="P72" s="20"/>
      <c r="Q72" s="29"/>
      <c r="R72" s="30"/>
      <c r="S72" s="17"/>
    </row>
    <row r="73" spans="2:19" ht="18" customHeight="1" x14ac:dyDescent="0.25">
      <c r="B73" s="17"/>
      <c r="C73" s="101" t="str">
        <f>IF(D55="Valor da Causa", "% Aplicada","")</f>
        <v/>
      </c>
      <c r="D73" s="101"/>
      <c r="E73" s="101"/>
      <c r="F73" s="101"/>
      <c r="G73" s="92"/>
      <c r="H73" s="92"/>
      <c r="I73" s="17"/>
      <c r="L73" s="17"/>
      <c r="M73" s="161"/>
      <c r="N73" s="162"/>
      <c r="O73" s="25"/>
      <c r="P73" s="26" t="str">
        <f>IF(M73="","",VLOOKUP(M73,ÍNDICES!A$3:K$926,$E$10))</f>
        <v/>
      </c>
      <c r="Q73" s="27"/>
      <c r="R73" s="28" t="str">
        <f>IF(OR($G$8="",M73="",Q73=""),"",Q73/P73*G$10)</f>
        <v/>
      </c>
      <c r="S73" s="17"/>
    </row>
    <row r="74" spans="2:19" ht="4.1500000000000004" customHeight="1" x14ac:dyDescent="0.25">
      <c r="B74" s="17"/>
      <c r="C74" s="18"/>
      <c r="D74" s="18"/>
      <c r="E74" s="18"/>
      <c r="F74" s="18"/>
      <c r="G74" s="18"/>
      <c r="H74" s="18"/>
      <c r="I74" s="17"/>
      <c r="L74" s="17"/>
      <c r="M74" s="17"/>
      <c r="N74" s="17"/>
      <c r="O74" s="17"/>
      <c r="P74" s="17"/>
      <c r="Q74" s="17"/>
      <c r="R74" s="17"/>
      <c r="S74" s="17"/>
    </row>
    <row r="75" spans="2:19" ht="18" hidden="1" customHeight="1" x14ac:dyDescent="0.25">
      <c r="B75" s="17"/>
      <c r="C75" s="97"/>
      <c r="D75" s="98"/>
      <c r="E75" s="98"/>
      <c r="F75" s="99"/>
      <c r="G75" s="93"/>
      <c r="H75" s="94"/>
      <c r="I75" s="17"/>
      <c r="L75" s="17"/>
      <c r="M75" s="37"/>
      <c r="N75" s="17"/>
      <c r="O75" s="17"/>
      <c r="P75" s="17"/>
      <c r="Q75" s="33" t="str">
        <f>IF(R75&lt;&gt;"","Total","")</f>
        <v/>
      </c>
      <c r="R75" s="38" t="str">
        <f>IF(SUM(R43:R73)&gt;0,SUM(R43:R73),"")</f>
        <v/>
      </c>
      <c r="S75" s="17"/>
    </row>
    <row r="76" spans="2:19" ht="18" customHeight="1" x14ac:dyDescent="0.25">
      <c r="B76" s="17"/>
      <c r="C76" s="97" t="s">
        <v>74</v>
      </c>
      <c r="D76" s="98"/>
      <c r="E76" s="98"/>
      <c r="F76" s="99"/>
      <c r="G76" s="93" t="str">
        <f>IF($G$8="","",IF(RIGHT(D41,10)="CONDENAÇÃO",G47,SUM(G63,G71)*IF(RIGHT(D55,5)="CAUSA",G73,1)))</f>
        <v/>
      </c>
      <c r="H76" s="94"/>
      <c r="I76" s="17"/>
      <c r="L76" s="17"/>
      <c r="M76" s="97" t="s">
        <v>55</v>
      </c>
      <c r="N76" s="98"/>
      <c r="O76" s="98"/>
      <c r="P76" s="98"/>
      <c r="Q76" s="165" t="str">
        <f>IF($G$8="","",SUM(R43:R73))</f>
        <v/>
      </c>
      <c r="R76" s="166"/>
      <c r="S76" s="17"/>
    </row>
    <row r="77" spans="2:19" ht="4.1500000000000004" customHeight="1" x14ac:dyDescent="0.25">
      <c r="B77" s="17"/>
      <c r="C77" s="17"/>
      <c r="D77" s="17"/>
      <c r="E77" s="17"/>
      <c r="F77" s="17"/>
      <c r="G77" s="17"/>
      <c r="H77" s="17"/>
      <c r="I77" s="17"/>
      <c r="L77" s="17"/>
      <c r="M77" s="17"/>
      <c r="N77" s="17"/>
      <c r="O77" s="17"/>
      <c r="P77" s="17"/>
      <c r="Q77" s="17"/>
      <c r="R77" s="17"/>
      <c r="S77" s="17"/>
    </row>
    <row r="78" spans="2:19" ht="4.1500000000000004" customHeight="1" x14ac:dyDescent="0.25"/>
    <row r="79" spans="2:19" ht="4.1500000000000004" customHeight="1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</row>
    <row r="80" spans="2:19" ht="18" customHeight="1" x14ac:dyDescent="0.25">
      <c r="B80" s="17"/>
      <c r="C80" s="17"/>
      <c r="D80" s="17"/>
      <c r="E80" s="97" t="s">
        <v>16</v>
      </c>
      <c r="F80" s="98"/>
      <c r="G80" s="98"/>
      <c r="H80" s="98"/>
      <c r="I80" s="99"/>
      <c r="J80" s="100">
        <f>SUM(IF(Menus!E10&gt;0,K32,0),IF(Menus!D3=TRUE,G76,0),IF(Menus!D4=TRUE,Q76,0))</f>
        <v>0</v>
      </c>
      <c r="K80" s="100"/>
      <c r="L80" s="100"/>
      <c r="M80" s="100"/>
      <c r="N80" s="100"/>
      <c r="O80" s="100"/>
      <c r="P80" s="50" t="s">
        <v>99</v>
      </c>
      <c r="Q80" s="53" t="e">
        <f>VLOOKUP(G8,TabelaCalculo[[DATA]:[UFESP]],4)</f>
        <v>#N/A</v>
      </c>
      <c r="R80" s="18"/>
      <c r="S80" s="17"/>
    </row>
    <row r="81" spans="1:20" ht="4.1500000000000004" customHeight="1" x14ac:dyDescent="0.25">
      <c r="B81" s="17"/>
      <c r="C81" s="17"/>
      <c r="D81" s="17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7"/>
    </row>
    <row r="82" spans="1:20" ht="18" customHeight="1" x14ac:dyDescent="0.25">
      <c r="B82" s="17"/>
      <c r="C82" s="17"/>
      <c r="D82" s="51" t="s">
        <v>96</v>
      </c>
      <c r="E82" s="149" t="s">
        <v>61</v>
      </c>
      <c r="F82" s="150"/>
      <c r="G82" s="150"/>
      <c r="H82" s="150"/>
      <c r="I82" s="151"/>
      <c r="J82" s="163" t="e">
        <f>IF(E82="","",MIN(MAX(IF(E82=Menus!G9,1.5%*J80,IF(E82=Menus!G12,1%*J80,2%*J80)),5*Q80),3000*Q80))</f>
        <v>#N/A</v>
      </c>
      <c r="K82" s="163"/>
      <c r="L82" s="163"/>
      <c r="M82" s="163"/>
      <c r="N82" s="163"/>
      <c r="O82" s="163"/>
      <c r="P82" s="54" t="e">
        <f>IF(OR(J92="",E82=""),"","Processo SAJ - pgto. via DARE - Portal de Custas")</f>
        <v>#N/A</v>
      </c>
      <c r="Q82" s="52"/>
      <c r="R82" s="18"/>
      <c r="S82" s="17"/>
    </row>
    <row r="83" spans="1:20" ht="4.1500000000000004" customHeight="1" x14ac:dyDescent="0.25">
      <c r="B83" s="17"/>
      <c r="C83" s="17"/>
      <c r="D83" s="17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7"/>
    </row>
    <row r="84" spans="1:20" s="23" customFormat="1" ht="18" customHeight="1" x14ac:dyDescent="0.25">
      <c r="A84" s="22"/>
      <c r="B84" s="18"/>
      <c r="C84" s="18"/>
      <c r="D84" s="18"/>
      <c r="E84" s="153" t="s">
        <v>17</v>
      </c>
      <c r="F84" s="153"/>
      <c r="G84" s="153"/>
      <c r="H84" s="153"/>
      <c r="I84" s="153"/>
      <c r="J84" s="154" t="s">
        <v>18</v>
      </c>
      <c r="K84" s="155"/>
      <c r="L84" s="155"/>
      <c r="M84" s="155"/>
      <c r="N84" s="155"/>
      <c r="O84" s="156"/>
      <c r="P84" s="39" t="str">
        <f>IF(J84="","INDIQUE SE HÁ INCIDÊNCIA DE MULTA","")</f>
        <v/>
      </c>
      <c r="Q84" s="167" t="s">
        <v>100</v>
      </c>
      <c r="R84" s="167"/>
      <c r="S84" s="18"/>
      <c r="T84" s="22"/>
    </row>
    <row r="85" spans="1:20" ht="4.1500000000000004" customHeight="1" x14ac:dyDescent="0.25">
      <c r="B85" s="17"/>
      <c r="C85" s="17"/>
      <c r="D85" s="17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67"/>
      <c r="R85" s="167"/>
      <c r="S85" s="17"/>
    </row>
    <row r="86" spans="1:20" ht="18" customHeight="1" x14ac:dyDescent="0.25">
      <c r="B86" s="17"/>
      <c r="C86" s="17"/>
      <c r="D86" s="17"/>
      <c r="E86" s="153" t="s">
        <v>19</v>
      </c>
      <c r="F86" s="153"/>
      <c r="G86" s="153"/>
      <c r="H86" s="153"/>
      <c r="I86" s="153"/>
      <c r="J86" s="100" t="str">
        <f>IF(J84="Não","",10%*J$80)</f>
        <v/>
      </c>
      <c r="K86" s="100"/>
      <c r="L86" s="100"/>
      <c r="M86" s="100"/>
      <c r="N86" s="100"/>
      <c r="O86" s="100"/>
      <c r="P86" s="40"/>
      <c r="Q86" s="167"/>
      <c r="R86" s="167"/>
      <c r="S86" s="17"/>
    </row>
    <row r="87" spans="1:20" ht="4.1500000000000004" customHeight="1" x14ac:dyDescent="0.25"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58" t="str">
        <f>IF(D55="valor da causa","Obs.: valor da causa pode ser o da fase de conhecimento, de cumprimento de sentença ou o da execução extrajudicial.","")</f>
        <v/>
      </c>
      <c r="R87" s="158"/>
      <c r="S87" s="17"/>
    </row>
    <row r="88" spans="1:20" s="23" customFormat="1" ht="18" customHeight="1" x14ac:dyDescent="0.25">
      <c r="A88" s="22"/>
      <c r="B88" s="18"/>
      <c r="C88" s="18"/>
      <c r="D88" s="18"/>
      <c r="E88" s="153" t="s">
        <v>20</v>
      </c>
      <c r="F88" s="153"/>
      <c r="G88" s="153"/>
      <c r="H88" s="153"/>
      <c r="I88" s="153"/>
      <c r="J88" s="154" t="str">
        <f>J84</f>
        <v>Não</v>
      </c>
      <c r="K88" s="155"/>
      <c r="L88" s="155"/>
      <c r="M88" s="155"/>
      <c r="N88" s="155"/>
      <c r="O88" s="156"/>
      <c r="P88" s="39" t="str">
        <f>IF(J88="","INDIQUE SE HÁ INCIDÊNCIA DE MULTA","")</f>
        <v/>
      </c>
      <c r="Q88" s="158"/>
      <c r="R88" s="158"/>
      <c r="S88" s="18"/>
      <c r="T88" s="22"/>
    </row>
    <row r="89" spans="1:20" ht="4.1500000000000004" customHeight="1" x14ac:dyDescent="0.25">
      <c r="B89" s="17"/>
      <c r="C89" s="17"/>
      <c r="D89" s="17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58"/>
      <c r="R89" s="158"/>
      <c r="S89" s="17"/>
    </row>
    <row r="90" spans="1:20" ht="18" customHeight="1" x14ac:dyDescent="0.25">
      <c r="B90" s="17"/>
      <c r="C90" s="17"/>
      <c r="D90" s="17"/>
      <c r="E90" s="153" t="s">
        <v>21</v>
      </c>
      <c r="F90" s="153"/>
      <c r="G90" s="153"/>
      <c r="H90" s="153"/>
      <c r="I90" s="153"/>
      <c r="J90" s="100" t="str">
        <f>IF(J88="Não","",10%*J$80)</f>
        <v/>
      </c>
      <c r="K90" s="100"/>
      <c r="L90" s="100"/>
      <c r="M90" s="100"/>
      <c r="N90" s="100"/>
      <c r="O90" s="100"/>
      <c r="P90" s="40"/>
      <c r="Q90" s="158"/>
      <c r="R90" s="158"/>
      <c r="S90" s="17"/>
    </row>
    <row r="91" spans="1:20" ht="4.1500000000000004" customHeight="1" x14ac:dyDescent="0.25">
      <c r="B91" s="17"/>
      <c r="C91" s="17"/>
      <c r="D91" s="17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58"/>
      <c r="R91" s="158"/>
      <c r="S91" s="17"/>
    </row>
    <row r="92" spans="1:20" ht="18" customHeight="1" x14ac:dyDescent="0.25">
      <c r="B92" s="17"/>
      <c r="C92" s="17"/>
      <c r="D92" s="17"/>
      <c r="E92" s="81" t="e">
        <f>IF(J82="","Saldo Final", "Saldo - Opção:")</f>
        <v>#N/A</v>
      </c>
      <c r="F92" s="82"/>
      <c r="G92" s="157" t="s">
        <v>97</v>
      </c>
      <c r="H92" s="157"/>
      <c r="I92" s="83"/>
      <c r="J92" s="100" t="e">
        <f>IF(AND(LEFT(G92,6)="inclui",J82=""),"SELECIONAR TAXA EM E82",SUM(J80,J86,J90,IF(LEFT(G92,6)="inclui",J82,0)))</f>
        <v>#N/A</v>
      </c>
      <c r="K92" s="100"/>
      <c r="L92" s="100"/>
      <c r="M92" s="100"/>
      <c r="N92" s="100"/>
      <c r="O92" s="100"/>
      <c r="P92" s="49"/>
      <c r="Q92" s="158"/>
      <c r="R92" s="158"/>
      <c r="S92" s="17"/>
    </row>
    <row r="93" spans="1:20" ht="4.1500000000000004" customHeight="1" x14ac:dyDescent="0.25">
      <c r="B93" s="17"/>
      <c r="C93" s="17"/>
      <c r="D93" s="17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7"/>
    </row>
    <row r="94" spans="1:20" hidden="1" x14ac:dyDescent="0.25">
      <c r="A94" s="15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T94" s="15"/>
    </row>
    <row r="96" spans="1:20" x14ac:dyDescent="0.25">
      <c r="A96" s="15"/>
      <c r="C96" s="41" t="s">
        <v>22</v>
      </c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42"/>
      <c r="Q96" s="23"/>
      <c r="R96" s="23"/>
      <c r="T96" s="15"/>
    </row>
    <row r="97" spans="13:14" x14ac:dyDescent="0.25"/>
    <row r="99" spans="13:14" hidden="1" x14ac:dyDescent="0.25">
      <c r="M99" s="152"/>
      <c r="N99" s="152"/>
    </row>
    <row r="100" spans="13:14" hidden="1" x14ac:dyDescent="0.25">
      <c r="M100" s="159"/>
      <c r="N100" s="160"/>
    </row>
  </sheetData>
  <sheetProtection algorithmName="SHA-512" hashValue="SX+8w2rdQW6QmX6+Ju7CiBelLdwDkaqrdE3ZE8n46NAWZaBMnF3+eI6RSKcyQbsnVfzD0vxG1ff8iDlkxy4EEA==" saltValue="q48ahNQKwAM15uloz2dhBw==" spinCount="100000" sheet="1" formatRows="0"/>
  <mergeCells count="114">
    <mergeCell ref="Q87:R92"/>
    <mergeCell ref="M100:N100"/>
    <mergeCell ref="J92:O92"/>
    <mergeCell ref="M73:N73"/>
    <mergeCell ref="M61:N61"/>
    <mergeCell ref="M63:N63"/>
    <mergeCell ref="M65:N65"/>
    <mergeCell ref="M38:R38"/>
    <mergeCell ref="M41:N41"/>
    <mergeCell ref="M43:N43"/>
    <mergeCell ref="M45:N45"/>
    <mergeCell ref="M47:N47"/>
    <mergeCell ref="J82:O82"/>
    <mergeCell ref="M67:N67"/>
    <mergeCell ref="M69:N69"/>
    <mergeCell ref="M59:N59"/>
    <mergeCell ref="M55:N55"/>
    <mergeCell ref="M57:N57"/>
    <mergeCell ref="M49:N49"/>
    <mergeCell ref="M51:N51"/>
    <mergeCell ref="M71:N71"/>
    <mergeCell ref="M53:N53"/>
    <mergeCell ref="Q76:R76"/>
    <mergeCell ref="Q84:R86"/>
    <mergeCell ref="E82:I82"/>
    <mergeCell ref="M99:N99"/>
    <mergeCell ref="E84:I84"/>
    <mergeCell ref="J84:O84"/>
    <mergeCell ref="J86:O86"/>
    <mergeCell ref="E86:I86"/>
    <mergeCell ref="E90:I90"/>
    <mergeCell ref="J90:O90"/>
    <mergeCell ref="E88:I88"/>
    <mergeCell ref="J88:O88"/>
    <mergeCell ref="G92:H92"/>
    <mergeCell ref="C1:R1"/>
    <mergeCell ref="C3:R3"/>
    <mergeCell ref="C15:H15"/>
    <mergeCell ref="M15:R15"/>
    <mergeCell ref="G18:H18"/>
    <mergeCell ref="C14:H14"/>
    <mergeCell ref="M14:R14"/>
    <mergeCell ref="G16:H16"/>
    <mergeCell ref="G8:H8"/>
    <mergeCell ref="G10:H10"/>
    <mergeCell ref="C8:F8"/>
    <mergeCell ref="C16:F16"/>
    <mergeCell ref="M16:P16"/>
    <mergeCell ref="M18:P18"/>
    <mergeCell ref="C18:F18"/>
    <mergeCell ref="Q8:R8"/>
    <mergeCell ref="M8:P8"/>
    <mergeCell ref="Q16:R16"/>
    <mergeCell ref="O10:R10"/>
    <mergeCell ref="Q20:R20"/>
    <mergeCell ref="Q18:R18"/>
    <mergeCell ref="C45:F45"/>
    <mergeCell ref="C47:F47"/>
    <mergeCell ref="C49:F49"/>
    <mergeCell ref="C53:H53"/>
    <mergeCell ref="G43:H43"/>
    <mergeCell ref="G45:H45"/>
    <mergeCell ref="G51:H51"/>
    <mergeCell ref="C51:F51"/>
    <mergeCell ref="Q22:R22"/>
    <mergeCell ref="Q24:R24"/>
    <mergeCell ref="Q26:R26"/>
    <mergeCell ref="G22:H22"/>
    <mergeCell ref="F32:J32"/>
    <mergeCell ref="C22:F22"/>
    <mergeCell ref="K32:O32"/>
    <mergeCell ref="M24:P24"/>
    <mergeCell ref="M26:P26"/>
    <mergeCell ref="M22:P22"/>
    <mergeCell ref="C30:E30"/>
    <mergeCell ref="C20:F20"/>
    <mergeCell ref="G20:H20"/>
    <mergeCell ref="M20:P20"/>
    <mergeCell ref="G59:H59"/>
    <mergeCell ref="C59:F59"/>
    <mergeCell ref="C57:F57"/>
    <mergeCell ref="G47:H47"/>
    <mergeCell ref="G49:H49"/>
    <mergeCell ref="C26:F26"/>
    <mergeCell ref="G26:H26"/>
    <mergeCell ref="C24:F24"/>
    <mergeCell ref="G24:H24"/>
    <mergeCell ref="C38:H38"/>
    <mergeCell ref="D41:G41"/>
    <mergeCell ref="C39:H39"/>
    <mergeCell ref="D55:G55"/>
    <mergeCell ref="C43:F43"/>
    <mergeCell ref="G57:H57"/>
    <mergeCell ref="G73:H73"/>
    <mergeCell ref="G71:H71"/>
    <mergeCell ref="G69:H69"/>
    <mergeCell ref="E80:I80"/>
    <mergeCell ref="J80:O80"/>
    <mergeCell ref="C75:F75"/>
    <mergeCell ref="C71:F71"/>
    <mergeCell ref="G61:H61"/>
    <mergeCell ref="G67:H67"/>
    <mergeCell ref="G65:H65"/>
    <mergeCell ref="G63:H63"/>
    <mergeCell ref="C61:F61"/>
    <mergeCell ref="C65:F65"/>
    <mergeCell ref="C67:F67"/>
    <mergeCell ref="C73:F73"/>
    <mergeCell ref="G75:H75"/>
    <mergeCell ref="C69:F69"/>
    <mergeCell ref="C63:F63"/>
    <mergeCell ref="G76:H76"/>
    <mergeCell ref="M76:P76"/>
    <mergeCell ref="C76:F76"/>
  </mergeCells>
  <conditionalFormatting sqref="M8:P8">
    <cfRule type="expression" dxfId="82" priority="46">
      <formula>$M$8="INSIRA A DATA DA ATUALIZAÇÃO!"</formula>
    </cfRule>
  </conditionalFormatting>
  <conditionalFormatting sqref="B79:S83 B93:S93 B84:Q84 B85:P91 S84:S92 B92:G92 I92:P92">
    <cfRule type="expression" dxfId="81" priority="6">
      <formula>AND($K$32="",SUM($G$47:$G$76)=0)</formula>
    </cfRule>
  </conditionalFormatting>
  <conditionalFormatting sqref="G22:G24">
    <cfRule type="expression" dxfId="80" priority="2">
      <formula>C$22=""</formula>
    </cfRule>
  </conditionalFormatting>
  <dataValidations count="2">
    <dataValidation type="date" operator="greaterThanOrEqual" allowBlank="1" showInputMessage="1" showErrorMessage="1" errorTitle="ERRO!" error="É aceita apenas a entrada de data a partir de outubro de 1964!" sqref="G8:H8" xr:uid="{00000000-0002-0000-0000-000000000000}">
      <formula1>23651</formula1>
    </dataValidation>
    <dataValidation type="list" allowBlank="1" showInputMessage="1" showErrorMessage="1" sqref="J84:O84 J88:O88" xr:uid="{00000000-0002-0000-0000-000001000000}">
      <formula1>"Não, Sim"</formula1>
    </dataValidation>
  </dataValidations>
  <hyperlinks>
    <hyperlink ref="P82" r:id="rId1" display="https://portaldecustas.tjsp.jus.br/portaltjsp/pages/custas/new" xr:uid="{4879EF3C-F335-4D28-B7C4-52625D74C4BE}"/>
  </hyperlinks>
  <printOptions horizontalCentered="1"/>
  <pageMargins left="0.39370078740157483" right="0.39370078740157483" top="0.59055118110236227" bottom="0.59055118110236227" header="0.31496062992125984" footer="0.31496062992125984"/>
  <pageSetup paperSize="9" scale="69" fitToHeight="0" orientation="portrait" r:id="rId2"/>
  <ignoredErrors>
    <ignoredError sqref="G47 Q75:R75 H24 C24:F24 C25:H26 H20 C20:F20 C21:H23 F10 G10:H10 C18:F18 C19:H19 C16:F16 C17:H17 C11:H15 I16:J16 I11:J15 I18:J18 I17:J17 G20 I19:J19 I10:J10 G24 I21:J23 I20:J20 C27:J32 I25:J26 I24:J24 J93:R93 J82:P86 Q82:R86 Q80:R81 E92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Check Box 5">
              <controlPr locked="0" defaultSize="0" autoFill="0" autoLine="0" autoPict="0">
                <anchor moveWithCells="1">
                  <from>
                    <xdr:col>2</xdr:col>
                    <xdr:colOff>314325</xdr:colOff>
                    <xdr:row>4</xdr:row>
                    <xdr:rowOff>47625</xdr:rowOff>
                  </from>
                  <to>
                    <xdr:col>4</xdr:col>
                    <xdr:colOff>352425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locked="0" defaultSize="0" autoFill="0" autoLine="0" autoPict="0">
                <anchor moveWithCells="1">
                  <from>
                    <xdr:col>7</xdr:col>
                    <xdr:colOff>676275</xdr:colOff>
                    <xdr:row>4</xdr:row>
                    <xdr:rowOff>47625</xdr:rowOff>
                  </from>
                  <to>
                    <xdr:col>14</xdr:col>
                    <xdr:colOff>466725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Gerar_PDF">
                <anchor moveWithCells="1" sizeWithCells="1">
                  <from>
                    <xdr:col>16</xdr:col>
                    <xdr:colOff>104775</xdr:colOff>
                    <xdr:row>0</xdr:row>
                    <xdr:rowOff>133350</xdr:rowOff>
                  </from>
                  <to>
                    <xdr:col>17</xdr:col>
                    <xdr:colOff>762000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Option Button 16">
              <controlPr defaultSize="0" autoFill="0" autoLine="0" autoPict="0">
                <anchor moveWithCells="1">
                  <from>
                    <xdr:col>2</xdr:col>
                    <xdr:colOff>304800</xdr:colOff>
                    <xdr:row>2</xdr:row>
                    <xdr:rowOff>209550</xdr:rowOff>
                  </from>
                  <to>
                    <xdr:col>7</xdr:col>
                    <xdr:colOff>266700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Option Button 17">
              <controlPr defaultSize="0" autoFill="0" autoLine="0" autoPict="0">
                <anchor moveWithCells="1">
                  <from>
                    <xdr:col>7</xdr:col>
                    <xdr:colOff>676275</xdr:colOff>
                    <xdr:row>2</xdr:row>
                    <xdr:rowOff>190500</xdr:rowOff>
                  </from>
                  <to>
                    <xdr:col>17</xdr:col>
                    <xdr:colOff>742950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Option Button 18">
              <controlPr defaultSize="0" autoFill="0" autoLine="0" autoPict="0">
                <anchor moveWithCells="1">
                  <from>
                    <xdr:col>2</xdr:col>
                    <xdr:colOff>314325</xdr:colOff>
                    <xdr:row>3</xdr:row>
                    <xdr:rowOff>104775</xdr:rowOff>
                  </from>
                  <to>
                    <xdr:col>6</xdr:col>
                    <xdr:colOff>533400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Option Button 20">
              <controlPr defaultSize="0" autoFill="0" autoLine="0" autoPict="0">
                <anchor moveWithCells="1">
                  <from>
                    <xdr:col>7</xdr:col>
                    <xdr:colOff>676275</xdr:colOff>
                    <xdr:row>3</xdr:row>
                    <xdr:rowOff>104775</xdr:rowOff>
                  </from>
                  <to>
                    <xdr:col>15</xdr:col>
                    <xdr:colOff>428625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4" id="{6438D49C-41DC-4EB1-91F8-A70F272D6D59}">
            <xm:f>OR(AND(Menus!$D$4=TRUE,$G$8=""),AND(Menus!$D$4=FALSE,OR($G$8="",$G$8&lt;&gt;"")))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L54:S75 L53:M53 O53:S53 L37:S52 L77:S77 S76 L76:M76 Q76</xm:sqref>
        </x14:conditionalFormatting>
        <x14:conditionalFormatting xmlns:xm="http://schemas.microsoft.com/office/excel/2006/main">
          <x14:cfRule type="expression" priority="169" id="{B6513986-16B8-4AF2-9F10-9CEF00C9CEA6}">
            <xm:f>AND(Menus!$D$4=TRUE,$G$8&lt;&gt;"",$M$43&lt;&gt;"")</xm:f>
            <x14:dxf>
              <fill>
                <patternFill>
                  <bgColor rgb="FFBED3F8"/>
                </patternFill>
              </fill>
            </x14:dxf>
          </x14:cfRule>
          <x14:cfRule type="expression" priority="170" id="{AD13D4E1-36D7-4A26-B0DE-56A188D10620}">
            <xm:f>AND(Menus!$D$4=TRUE,$G$8&lt;&gt;"",$M$43&lt;&gt;"")</xm:f>
            <x14:dxf>
              <fill>
                <patternFill>
                  <bgColor rgb="FFCBDBF9"/>
                </patternFill>
              </fill>
            </x14:dxf>
          </x14:cfRule>
          <xm:sqref>M43:O43 Q43</xm:sqref>
        </x14:conditionalFormatting>
        <x14:conditionalFormatting xmlns:xm="http://schemas.microsoft.com/office/excel/2006/main">
          <x14:cfRule type="expression" priority="176" id="{9F11E727-777C-419C-9833-03A9E72F5556}">
            <xm:f>AND(Menus!$D$4=TRUE,$G$8&lt;&gt;"",$M$45&lt;&gt;"")</xm:f>
            <x14:dxf>
              <fill>
                <patternFill>
                  <bgColor rgb="FFBED3F8"/>
                </patternFill>
              </fill>
            </x14:dxf>
          </x14:cfRule>
          <xm:sqref>M45:O45 Q45 M43:O43 Q43</xm:sqref>
        </x14:conditionalFormatting>
        <x14:conditionalFormatting xmlns:xm="http://schemas.microsoft.com/office/excel/2006/main">
          <x14:cfRule type="expression" priority="180" id="{F2AF2D94-6EB9-4B41-A3D3-85081F15E89C}">
            <xm:f>AND(Menus!$D$4=TRUE,$G$8&lt;&gt;"",$M$49&lt;&gt;"")</xm:f>
            <x14:dxf>
              <fill>
                <patternFill>
                  <bgColor rgb="FFBED3F8"/>
                </patternFill>
              </fill>
            </x14:dxf>
          </x14:cfRule>
          <xm:sqref>M47:O47 Q47 M49:O49 Q49 M51:O51 Q51</xm:sqref>
        </x14:conditionalFormatting>
        <x14:conditionalFormatting xmlns:xm="http://schemas.microsoft.com/office/excel/2006/main">
          <x14:cfRule type="expression" priority="186" id="{625585DA-0607-4E2D-B250-6EF9ABAA22D7}">
            <xm:f>AND(Menus!$D$4=TRUE,$G$8&lt;&gt;"",$M$53&lt;&gt;"")</xm:f>
            <x14:dxf>
              <fill>
                <patternFill>
                  <bgColor rgb="FFBED3F8"/>
                </patternFill>
              </fill>
            </x14:dxf>
          </x14:cfRule>
          <xm:sqref>M53 Q53 O53</xm:sqref>
        </x14:conditionalFormatting>
        <x14:conditionalFormatting xmlns:xm="http://schemas.microsoft.com/office/excel/2006/main">
          <x14:cfRule type="expression" priority="189" id="{015B4501-2F9D-4F7C-9900-CD7630099EE4}">
            <xm:f>AND(Menus!$D$4=TRUE,$G$8&lt;&gt;"",$M$55&lt;&gt;"")</xm:f>
            <x14:dxf>
              <fill>
                <patternFill>
                  <bgColor rgb="FFBED3F8"/>
                </patternFill>
              </fill>
            </x14:dxf>
          </x14:cfRule>
          <xm:sqref>M55:O55 Q55</xm:sqref>
        </x14:conditionalFormatting>
        <x14:conditionalFormatting xmlns:xm="http://schemas.microsoft.com/office/excel/2006/main">
          <x14:cfRule type="expression" priority="191" id="{722500BD-40CB-4B09-8487-46078F51DB6A}">
            <xm:f>AND(Menus!$D$4=TRUE,$G$8&lt;&gt;"",$M$57&lt;&gt;"")</xm:f>
            <x14:dxf>
              <fill>
                <patternFill>
                  <bgColor rgb="FFBED3F8"/>
                </patternFill>
              </fill>
            </x14:dxf>
          </x14:cfRule>
          <xm:sqref>M57:O57 Q57</xm:sqref>
        </x14:conditionalFormatting>
        <x14:conditionalFormatting xmlns:xm="http://schemas.microsoft.com/office/excel/2006/main">
          <x14:cfRule type="expression" priority="193" id="{789580E7-9DD8-49D9-B46D-437F7742C855}">
            <xm:f>AND(Menus!$D$4=TRUE,$G$8&lt;&gt;"",$M$59&lt;&gt;"")</xm:f>
            <x14:dxf>
              <fill>
                <patternFill>
                  <bgColor rgb="FFBED3F8"/>
                </patternFill>
              </fill>
            </x14:dxf>
          </x14:cfRule>
          <xm:sqref>M59:O59 Q59</xm:sqref>
        </x14:conditionalFormatting>
        <x14:conditionalFormatting xmlns:xm="http://schemas.microsoft.com/office/excel/2006/main">
          <x14:cfRule type="expression" priority="195" id="{83A300ED-1B07-402B-9E6C-F481F5723DA3}">
            <xm:f>AND(Menus!$D$4=TRUE,$G$8&lt;&gt;"",$M$61&lt;&gt;"")</xm:f>
            <x14:dxf>
              <fill>
                <patternFill>
                  <bgColor rgb="FFBED3F8"/>
                </patternFill>
              </fill>
            </x14:dxf>
          </x14:cfRule>
          <xm:sqref>M61:O61 Q61</xm:sqref>
        </x14:conditionalFormatting>
        <x14:conditionalFormatting xmlns:xm="http://schemas.microsoft.com/office/excel/2006/main">
          <x14:cfRule type="expression" priority="197" id="{95DC14F0-5EB9-485E-A8AD-9F14B1D3C510}">
            <xm:f>AND(Menus!$D$4=TRUE,$G$8&lt;&gt;"",$M$63&lt;&gt;"")</xm:f>
            <x14:dxf>
              <fill>
                <patternFill>
                  <bgColor rgb="FFBED3F8"/>
                </patternFill>
              </fill>
            </x14:dxf>
          </x14:cfRule>
          <xm:sqref>M63:O63 Q63</xm:sqref>
        </x14:conditionalFormatting>
        <x14:conditionalFormatting xmlns:xm="http://schemas.microsoft.com/office/excel/2006/main">
          <x14:cfRule type="expression" priority="199" id="{907F3F43-9505-494D-8ADE-E78472EF53A3}">
            <xm:f>AND(Menus!$D$4=TRUE,$G$8&lt;&gt;"",$M$65&lt;&gt;"")</xm:f>
            <x14:dxf>
              <fill>
                <patternFill>
                  <bgColor rgb="FFBED3F8"/>
                </patternFill>
              </fill>
            </x14:dxf>
          </x14:cfRule>
          <xm:sqref>M65:O65 Q65</xm:sqref>
        </x14:conditionalFormatting>
        <x14:conditionalFormatting xmlns:xm="http://schemas.microsoft.com/office/excel/2006/main">
          <x14:cfRule type="expression" priority="201" id="{BD686F0E-F008-463B-A315-543D79786C61}">
            <xm:f>AND(Menus!$D$4=TRUE,$G$8&lt;&gt;"",$M$67&lt;&gt;"")</xm:f>
            <x14:dxf>
              <fill>
                <patternFill>
                  <bgColor rgb="FFBED3F8"/>
                </patternFill>
              </fill>
            </x14:dxf>
          </x14:cfRule>
          <xm:sqref>M67:O67 Q67</xm:sqref>
        </x14:conditionalFormatting>
        <x14:conditionalFormatting xmlns:xm="http://schemas.microsoft.com/office/excel/2006/main">
          <x14:cfRule type="expression" priority="203" id="{FDA67F53-D0F8-49B0-BCD0-13403B12336B}">
            <xm:f>AND(Menus!$D$4=TRUE,$G$8&lt;&gt;"",$M$69&lt;&gt;"")</xm:f>
            <x14:dxf>
              <fill>
                <patternFill>
                  <bgColor rgb="FFBED3F8"/>
                </patternFill>
              </fill>
            </x14:dxf>
          </x14:cfRule>
          <xm:sqref>M69:O69 Q69</xm:sqref>
        </x14:conditionalFormatting>
        <x14:conditionalFormatting xmlns:xm="http://schemas.microsoft.com/office/excel/2006/main">
          <x14:cfRule type="expression" priority="205" id="{5B114AD5-0D46-4F60-8C56-6AD556979A13}">
            <xm:f>AND(Menus!$D$4=TRUE,$G$8&lt;&gt;"",$M$71&lt;&gt;"")</xm:f>
            <x14:dxf>
              <fill>
                <patternFill>
                  <bgColor rgb="FFBED3F8"/>
                </patternFill>
              </fill>
            </x14:dxf>
          </x14:cfRule>
          <xm:sqref>M71:O71 Q71</xm:sqref>
        </x14:conditionalFormatting>
        <x14:conditionalFormatting xmlns:xm="http://schemas.microsoft.com/office/excel/2006/main">
          <x14:cfRule type="expression" priority="207" id="{8815C0DE-BC25-4F68-A4FF-A08EA5755EC4}">
            <xm:f>AND(Menus!$D$4=TRUE,$G$8&lt;&gt;"",$M$73&lt;&gt;"")</xm:f>
            <x14:dxf>
              <fill>
                <patternFill>
                  <bgColor rgb="FFBED3F8"/>
                </patternFill>
              </fill>
            </x14:dxf>
          </x14:cfRule>
          <xm:sqref>M73:O73 Q73</xm:sqref>
        </x14:conditionalFormatting>
        <x14:conditionalFormatting xmlns:xm="http://schemas.microsoft.com/office/excel/2006/main">
          <x14:cfRule type="expression" priority="211" id="{1DCB4EDE-2AF6-4817-AD2D-033BB8393702}">
            <xm:f>OR(AND(Menus!$E$5=0,$G$8=""),AND(Menus!$E$5=0,$G$8&lt;&gt;""),AND(Menus!$E$5&lt;&gt;0,$G$8=""))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Q7:S9 B11:S11 S10 B10:O10</xm:sqref>
        </x14:conditionalFormatting>
        <x14:conditionalFormatting xmlns:xm="http://schemas.microsoft.com/office/excel/2006/main">
          <x14:cfRule type="expression" priority="213" id="{DEAC1FD4-CD42-4A4B-A64E-B274E48C3318}">
            <xm:f>AND(Menus!$D$3=TRUE,$G$8&lt;&gt;"",$D$41="Outra Base de Cálculo",$D$55="")</xm:f>
            <x14:dxf>
              <font>
                <color auto="1"/>
              </font>
              <fill>
                <patternFill>
                  <bgColor rgb="FFBF2D19"/>
                </patternFill>
              </fill>
            </x14:dxf>
          </x14:cfRule>
          <xm:sqref>D55:G55</xm:sqref>
        </x14:conditionalFormatting>
        <x14:conditionalFormatting xmlns:xm="http://schemas.microsoft.com/office/excel/2006/main">
          <x14:cfRule type="expression" priority="214" id="{65273879-54E5-476E-B5A8-9DBFAFDCD25B}">
            <xm:f>Menus!$E$5=0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B7:P9</xm:sqref>
        </x14:conditionalFormatting>
        <x14:conditionalFormatting xmlns:xm="http://schemas.microsoft.com/office/excel/2006/main">
          <x14:cfRule type="expression" priority="215" id="{4004C06D-C5C3-4C4F-88BE-E5A79BDFC60D}">
            <xm:f>OR(Menus!$D$3=FALSE,$G$8="")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B37:I75 B77:I77 B76:C76 I76 G76</xm:sqref>
        </x14:conditionalFormatting>
        <x14:conditionalFormatting xmlns:xm="http://schemas.microsoft.com/office/excel/2006/main">
          <x14:cfRule type="expression" priority="216" id="{1AEB232C-EBC6-4A73-879F-9FAA5A5C8D2E}">
            <xm:f>AND(Menus!$D$3=TRUE,$G$8&lt;&gt;"",$D$41="")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B43:I75 B77:I77 B76:C76 I76 G76</xm:sqref>
        </x14:conditionalFormatting>
        <x14:conditionalFormatting xmlns:xm="http://schemas.microsoft.com/office/excel/2006/main">
          <x14:cfRule type="expression" priority="217" id="{A009E48A-5D8F-45A5-B44E-667B62E36AF3}">
            <xm:f>AND(Menus!$D$3=TRUE,$G$8&lt;&gt;"",$D$41="Outra Base de Cálculo",$D$55="")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C43:H51 C57:H75 C76 G76</xm:sqref>
        </x14:conditionalFormatting>
        <x14:conditionalFormatting xmlns:xm="http://schemas.microsoft.com/office/excel/2006/main">
          <x14:cfRule type="expression" priority="219" id="{C6198BB6-5384-4D0B-AC9F-73CB9A244D9F}">
            <xm:f>AND(Menus!$D$3=TRUE,$G$8&lt;&gt;"",$D$41="Outra Base de Cálculo",OR($D$55="Valor Arbitrado",$D$55="Valor da Causa"))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vertical/>
                <horizontal/>
              </border>
            </x14:dxf>
          </x14:cfRule>
          <x14:cfRule type="expression" priority="220" id="{A5FCE9B3-665E-4ABD-876B-BA76C10446A5}">
            <xm:f>AND(Menus!$D$3=TRUE,$G$8&lt;&gt;"",$D$41&lt;&gt;"Valor da Condenação")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C43:H51</xm:sqref>
        </x14:conditionalFormatting>
        <x14:conditionalFormatting xmlns:xm="http://schemas.microsoft.com/office/excel/2006/main">
          <x14:cfRule type="expression" priority="221" id="{A219BF91-123E-4FCE-9A00-4DD05845D12B}">
            <xm:f>AND(Menus!$D$3=TRUE,$G$8&lt;&gt;"",$D$41="Valor da Condenação")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B52:I75 B77:I77 B76:C76 I76 G76</xm:sqref>
        </x14:conditionalFormatting>
        <x14:conditionalFormatting xmlns:xm="http://schemas.microsoft.com/office/excel/2006/main">
          <x14:cfRule type="expression" priority="222" id="{F1E22BF8-8EE1-4A1A-A2E6-E2E9C5C58410}">
            <xm:f>AND(Menus!$D$3=TRUE,$G$8&lt;&gt;"",$D$41="Outra Base de Cálculo",$D$55="Valor Arbitrado")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C73:H75</xm:sqref>
        </x14:conditionalFormatting>
        <x14:conditionalFormatting xmlns:xm="http://schemas.microsoft.com/office/excel/2006/main">
          <x14:cfRule type="expression" priority="223" id="{AAC73F6A-1573-4AAD-A8FC-D46AD72E1E2D}">
            <xm:f>AND(Menus!$D$3=TRUE,$G$8&lt;&gt;"",NOT($D$41="Valor da Condenação"),$K$32="")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B43:I51</xm:sqref>
        </x14:conditionalFormatting>
        <x14:conditionalFormatting xmlns:xm="http://schemas.microsoft.com/office/excel/2006/main">
          <x14:cfRule type="expression" priority="228" id="{20BA3D5C-732B-40B7-92EE-5539EF50FDFC}">
            <xm:f>OR(Menus!$E$10=0,$G$8="")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L13:S27 B29:T35 B13:I27</xm:sqref>
        </x14:conditionalFormatting>
        <x14:conditionalFormatting xmlns:xm="http://schemas.microsoft.com/office/excel/2006/main">
          <x14:cfRule type="expression" priority="231" id="{CF0E67C1-5BEA-4129-9788-3276E0E9424E}">
            <xm:f>OR(Menus!$E$10=0,$G$8="",$G$16="",$G$18="",$Q$16="Não",$Q$16="")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L18:S27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2000000}">
          <x14:formula1>
            <xm:f>Menus!$A$1:$A$3</xm:f>
          </x14:formula1>
          <xm:sqref>Q16:R16 G65:H65</xm:sqref>
        </x14:dataValidation>
        <x14:dataValidation type="list" allowBlank="1" showInputMessage="1" showErrorMessage="1" xr:uid="{00000000-0002-0000-0000-000003000000}">
          <x14:formula1>
            <xm:f>Menus!$G$2:$G$4</xm:f>
          </x14:formula1>
          <xm:sqref>D41</xm:sqref>
        </x14:dataValidation>
        <x14:dataValidation type="list" allowBlank="1" showInputMessage="1" showErrorMessage="1" xr:uid="{00000000-0002-0000-0000-000004000000}">
          <x14:formula1>
            <xm:f>Menus!$J$2:$J$3</xm:f>
          </x14:formula1>
          <xm:sqref>D55</xm:sqref>
        </x14:dataValidation>
        <x14:dataValidation type="list" allowBlank="1" showInputMessage="1" showErrorMessage="1" xr:uid="{F684C240-89CA-4EF2-A0DF-70515F92B583}">
          <x14:formula1>
            <xm:f>Menus!$G$8:$G$12</xm:f>
          </x14:formula1>
          <xm:sqref>E82:I82</xm:sqref>
        </x14:dataValidation>
        <x14:dataValidation type="list" allowBlank="1" showInputMessage="1" showErrorMessage="1" xr:uid="{575AC12E-7544-4FE8-89E6-F89245FE3548}">
          <x14:formula1>
            <xm:f>ÍNDICES!$I$2:$K$2</xm:f>
          </x14:formula1>
          <xm:sqref>D10</xm:sqref>
        </x14:dataValidation>
        <x14:dataValidation type="list" allowBlank="1" showInputMessage="1" showErrorMessage="1" xr:uid="{D1642471-6B62-44D4-B96E-C67B85F5BA47}">
          <x14:formula1>
            <xm:f>Menus!$J$4:$J$5</xm:f>
          </x14:formula1>
          <xm:sqref>G67:H67</xm:sqref>
        </x14:dataValidation>
        <x14:dataValidation type="list" allowBlank="1" showInputMessage="1" showErrorMessage="1" xr:uid="{A5AA5419-93EB-4EF2-85FD-00B3E8DEB1B4}">
          <x14:formula1>
            <xm:f>Menus!$L$8:$L$9</xm:f>
          </x14:formula1>
          <xm:sqref>G92:H92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C2A3E-B48B-4B68-ACF6-AF03081BE6AD}">
  <sheetPr codeName="Planilha6">
    <pageSetUpPr fitToPage="1"/>
  </sheetPr>
  <dimension ref="A1:T101"/>
  <sheetViews>
    <sheetView showGridLines="0" zoomScale="190" zoomScaleNormal="190" workbookViewId="0">
      <selection activeCell="G8" sqref="G8:H8"/>
    </sheetView>
  </sheetViews>
  <sheetFormatPr defaultColWidth="0" defaultRowHeight="15" customHeight="1" zeroHeight="1" x14ac:dyDescent="0.25"/>
  <cols>
    <col min="1" max="1" width="1.140625" style="14" customWidth="1"/>
    <col min="2" max="2" width="0.7109375" style="15" customWidth="1"/>
    <col min="3" max="3" width="10.7109375" style="15" customWidth="1"/>
    <col min="4" max="4" width="13.7109375" style="15" customWidth="1"/>
    <col min="5" max="5" width="7.7109375" style="15" customWidth="1"/>
    <col min="6" max="6" width="10.7109375" style="15" customWidth="1"/>
    <col min="7" max="8" width="12.7109375" style="15" customWidth="1"/>
    <col min="9" max="9" width="0.7109375" style="15" customWidth="1"/>
    <col min="10" max="11" width="0.28515625" style="15" customWidth="1"/>
    <col min="12" max="12" width="0.7109375" style="15" customWidth="1"/>
    <col min="13" max="14" width="6.7109375" style="15" customWidth="1"/>
    <col min="15" max="15" width="10.7109375" style="15" customWidth="1"/>
    <col min="16" max="16" width="12.7109375" style="15" customWidth="1"/>
    <col min="17" max="18" width="13.7109375" style="15" customWidth="1"/>
    <col min="19" max="19" width="0.7109375" style="15" customWidth="1"/>
    <col min="20" max="20" width="1.140625" style="14" customWidth="1"/>
    <col min="21" max="16384" width="8.85546875" style="15" hidden="1"/>
  </cols>
  <sheetData>
    <row r="1" spans="1:20" s="13" customFormat="1" ht="50.1" customHeight="1" x14ac:dyDescent="0.25">
      <c r="A1" s="12"/>
      <c r="B1" s="12"/>
      <c r="C1" s="132" t="s">
        <v>0</v>
      </c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2"/>
      <c r="T1" s="12"/>
    </row>
    <row r="2" spans="1:20" ht="30" customHeight="1" x14ac:dyDescent="0.25">
      <c r="B2" s="11"/>
      <c r="C2" s="172" t="s">
        <v>66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1"/>
    </row>
    <row r="3" spans="1:20" ht="18" customHeight="1" x14ac:dyDescent="0.25">
      <c r="A3" s="14" t="s">
        <v>1</v>
      </c>
      <c r="B3" s="11"/>
      <c r="C3" s="11"/>
      <c r="D3" s="11"/>
      <c r="E3" s="11"/>
      <c r="F3" s="73" t="s">
        <v>90</v>
      </c>
      <c r="G3" s="168" t="s">
        <v>88</v>
      </c>
      <c r="H3" s="169"/>
      <c r="I3" s="169"/>
      <c r="J3" s="169"/>
      <c r="K3" s="169"/>
      <c r="L3" s="169"/>
      <c r="M3" s="169"/>
      <c r="N3" s="169"/>
      <c r="O3" s="169"/>
      <c r="P3" s="170"/>
      <c r="Q3" s="11"/>
      <c r="R3" s="11"/>
      <c r="S3" s="11"/>
    </row>
    <row r="4" spans="1:20" ht="4.1500000000000004" customHeight="1" x14ac:dyDescent="0.25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20" ht="18" customHeight="1" x14ac:dyDescent="0.25">
      <c r="B5" s="11"/>
      <c r="C5" s="11"/>
      <c r="D5" s="74"/>
      <c r="E5" s="11"/>
      <c r="F5" s="73" t="s">
        <v>91</v>
      </c>
      <c r="G5" s="84" t="s">
        <v>93</v>
      </c>
      <c r="H5" s="11"/>
      <c r="I5" s="11"/>
      <c r="J5" s="11"/>
      <c r="K5" s="11"/>
      <c r="L5" s="11"/>
      <c r="M5" s="11"/>
      <c r="N5" s="11"/>
      <c r="O5" s="73" t="s">
        <v>92</v>
      </c>
      <c r="P5" s="84" t="s">
        <v>93</v>
      </c>
      <c r="Q5" s="11"/>
      <c r="R5" s="11"/>
      <c r="S5" s="11"/>
    </row>
    <row r="6" spans="1:20" s="14" customFormat="1" ht="4.1500000000000004" customHeight="1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20" s="14" customFormat="1" ht="4.1500000000000004" customHeight="1" x14ac:dyDescent="0.25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</row>
    <row r="8" spans="1:20" s="14" customFormat="1" ht="18" customHeight="1" x14ac:dyDescent="0.25">
      <c r="B8" s="11"/>
      <c r="C8" s="140" t="str">
        <f>IF(OR(Menus_Online!E10&gt;0,Menus_Online!D3=TRUE,Menus_Online!D4=TRUE),"Data da Atualização","")</f>
        <v>Data da Atualização</v>
      </c>
      <c r="D8" s="140"/>
      <c r="E8" s="140"/>
      <c r="F8" s="141"/>
      <c r="G8" s="136"/>
      <c r="H8" s="137"/>
      <c r="I8" s="11"/>
      <c r="J8" s="11"/>
      <c r="K8" s="11"/>
      <c r="L8" s="11"/>
      <c r="M8" s="144" t="str">
        <f>IF(AND(G8="",OR(Menus_Online!E10&gt;0,Menus_Online!D3=TRUE,Menus_Online!D4=TRUE)),"INSIRA A DATA DA ATUALIZAÇÃO!","Proc. nº")</f>
        <v>INSIRA A DATA DA ATUALIZAÇÃO!</v>
      </c>
      <c r="N8" s="144"/>
      <c r="O8" s="144"/>
      <c r="P8" s="145"/>
      <c r="Q8" s="142" t="s">
        <v>72</v>
      </c>
      <c r="R8" s="143"/>
      <c r="S8" s="11"/>
    </row>
    <row r="9" spans="1:20" s="14" customFormat="1" ht="4.1500000000000004" customHeight="1" x14ac:dyDescent="0.25">
      <c r="B9" s="11"/>
      <c r="C9" s="16"/>
      <c r="D9" s="16"/>
      <c r="E9" s="16"/>
      <c r="F9" s="16"/>
      <c r="G9" s="16"/>
      <c r="H9" s="16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</row>
    <row r="10" spans="1:20" s="14" customFormat="1" ht="18" customHeight="1" x14ac:dyDescent="0.25">
      <c r="B10" s="11"/>
      <c r="C10" s="16" t="s">
        <v>85</v>
      </c>
      <c r="D10" s="65" t="s">
        <v>81</v>
      </c>
      <c r="E10" s="64">
        <f>IF(D10="INPC",9,IF(D10="IPCA-15",10,11))</f>
        <v>11</v>
      </c>
      <c r="F10" s="63" t="str">
        <f>IF(G8="","","Índice Final")</f>
        <v/>
      </c>
      <c r="G10" s="173" t="e">
        <f>IF(OR(G8="",Menus_Online!E10&gt;0),VLOOKUP(G8,ÍNDICES!A$3:K$926,$E$10),"")</f>
        <v>#N/A</v>
      </c>
      <c r="H10" s="174"/>
      <c r="I10" s="11"/>
      <c r="J10" s="11"/>
      <c r="K10" s="11"/>
      <c r="L10" s="11"/>
      <c r="M10" s="72" t="str">
        <f>IF(OR(Menus_Online!E10&gt;0,Menus_Online!D3=TRUE,Menus_Online!D4=TRUE),"Unidade")</f>
        <v>Unidade</v>
      </c>
      <c r="N10" s="72"/>
      <c r="O10" s="146"/>
      <c r="P10" s="147"/>
      <c r="Q10" s="147"/>
      <c r="R10" s="148"/>
      <c r="S10" s="11"/>
    </row>
    <row r="11" spans="1:20" s="14" customFormat="1" ht="4.1500000000000004" customHeight="1" x14ac:dyDescent="0.2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1:20" s="14" customFormat="1" ht="4.1500000000000004" customHeight="1" x14ac:dyDescent="0.25"/>
    <row r="13" spans="1:20" ht="4.1500000000000004" customHeight="1" x14ac:dyDescent="0.25">
      <c r="B13" s="17"/>
      <c r="C13" s="17"/>
      <c r="D13" s="17"/>
      <c r="E13" s="17"/>
      <c r="F13" s="17"/>
      <c r="G13" s="17"/>
      <c r="H13" s="17"/>
      <c r="I13" s="17"/>
      <c r="J13" s="14"/>
      <c r="K13" s="14"/>
      <c r="L13" s="17"/>
      <c r="M13" s="17"/>
      <c r="N13" s="17"/>
      <c r="O13" s="17"/>
      <c r="P13" s="17"/>
      <c r="Q13" s="17"/>
      <c r="R13" s="17"/>
      <c r="S13" s="17"/>
    </row>
    <row r="14" spans="1:20" ht="18" customHeight="1" x14ac:dyDescent="0.25">
      <c r="B14" s="17"/>
      <c r="C14" s="109" t="s">
        <v>67</v>
      </c>
      <c r="D14" s="109"/>
      <c r="E14" s="109"/>
      <c r="F14" s="109"/>
      <c r="G14" s="109"/>
      <c r="H14" s="109"/>
      <c r="I14" s="17"/>
      <c r="J14" s="14"/>
      <c r="K14" s="14"/>
      <c r="L14" s="17"/>
      <c r="M14" s="109" t="str">
        <f>IF(Menus_Online!D6=TRUE,"SELIC PARA JUROS E CORREÇÃO","JUROS MORATÓRIOS CONFORME O CÓDIGO CIVIL")</f>
        <v>JUROS MORATÓRIOS CONFORME O CÓDIGO CIVIL</v>
      </c>
      <c r="N14" s="109"/>
      <c r="O14" s="109"/>
      <c r="P14" s="109"/>
      <c r="Q14" s="109"/>
      <c r="R14" s="109"/>
      <c r="S14" s="17"/>
    </row>
    <row r="15" spans="1:20" ht="18" customHeight="1" x14ac:dyDescent="0.25">
      <c r="B15" s="17"/>
      <c r="C15" s="134" t="str">
        <f>IF(OR(G16="",G18=""),"PREENCHA OS CAMPOS EM BRANCO","")</f>
        <v>PREENCHA OS CAMPOS EM BRANCO</v>
      </c>
      <c r="D15" s="134"/>
      <c r="E15" s="134"/>
      <c r="F15" s="134"/>
      <c r="G15" s="134"/>
      <c r="H15" s="134"/>
      <c r="I15" s="17"/>
      <c r="J15" s="14"/>
      <c r="K15" s="14"/>
      <c r="L15" s="17"/>
      <c r="M15" s="134" t="s">
        <v>78</v>
      </c>
      <c r="N15" s="134"/>
      <c r="O15" s="134"/>
      <c r="P15" s="134"/>
      <c r="Q15" s="134"/>
      <c r="R15" s="134"/>
      <c r="S15" s="17"/>
    </row>
    <row r="16" spans="1:20" ht="18" customHeight="1" x14ac:dyDescent="0.25">
      <c r="B16" s="17"/>
      <c r="C16" s="101" t="str">
        <f>IF(OR(Menus_Online!E10&gt;0,'PLANILHA ONLINE'!G8&lt;&gt;""),"Valor do Débito","")</f>
        <v>Valor do Débito</v>
      </c>
      <c r="D16" s="101"/>
      <c r="E16" s="101"/>
      <c r="F16" s="101"/>
      <c r="G16" s="124"/>
      <c r="H16" s="124"/>
      <c r="I16" s="17"/>
      <c r="J16" s="14"/>
      <c r="K16" s="14"/>
      <c r="L16" s="17"/>
      <c r="M16" s="101" t="str">
        <f>IF('PLANILHA ONLINE'!G8&lt;&gt;"",IF(Menus_Online!D6=FALSE,"Incidem Juros Moratórios?",IF(Menus_Online!D7=FALSE,"Selic para correção e juros?","")),"")</f>
        <v/>
      </c>
      <c r="N16" s="101"/>
      <c r="O16" s="101"/>
      <c r="P16" s="101"/>
      <c r="Q16" s="104"/>
      <c r="R16" s="104"/>
      <c r="S16" s="17"/>
    </row>
    <row r="17" spans="1:20" ht="4.1500000000000004" customHeight="1" x14ac:dyDescent="0.25">
      <c r="B17" s="17"/>
      <c r="C17" s="18"/>
      <c r="D17" s="18"/>
      <c r="E17" s="18"/>
      <c r="F17" s="18"/>
      <c r="G17" s="19"/>
      <c r="H17" s="18"/>
      <c r="I17" s="17"/>
      <c r="J17" s="14"/>
      <c r="K17" s="14"/>
      <c r="L17" s="17"/>
      <c r="M17" s="18"/>
      <c r="N17" s="18"/>
      <c r="O17" s="18"/>
      <c r="P17" s="18"/>
      <c r="Q17" s="18"/>
      <c r="R17" s="18"/>
      <c r="S17" s="17"/>
    </row>
    <row r="18" spans="1:20" ht="18" customHeight="1" x14ac:dyDescent="0.25">
      <c r="B18" s="17"/>
      <c r="C18" s="101" t="str">
        <f>IF(OR(Menus_Online!E10&gt;0,'PLANILHA ONLINE'!G8&lt;&gt;""),"Data Inicial","")</f>
        <v>Data Inicial</v>
      </c>
      <c r="D18" s="101"/>
      <c r="E18" s="101"/>
      <c r="F18" s="101"/>
      <c r="G18" s="135"/>
      <c r="H18" s="135"/>
      <c r="I18" s="17"/>
      <c r="J18" s="14"/>
      <c r="K18" s="14"/>
      <c r="L18" s="17"/>
      <c r="M18" s="105" t="str">
        <f>IF(Menus_Online!D7=TRUE,IF(G8&lt;DATE(2024,8,$E$108),"1% a.m.","1% a.m. até ago/2024, totalizando:"),IF(Menus_Online!D9=TRUE,"Juros de 1% a.m.",""))</f>
        <v>1% a.m.</v>
      </c>
      <c r="N18" s="105"/>
      <c r="O18" s="105"/>
      <c r="P18" s="105"/>
      <c r="Q18" s="126" t="str">
        <f>IF(OR(Q22=0,Q22="",M18=""),"",MAX(0,0.5%*TRUNC(DAYS360(DATE(YEAR(Q22),MONTH(Q22),1),DATE(2003,10,1))/30,0))+1%*MAX(TRUNC(DAYS360(MAX(DATE(2003,10,1),DATE(YEAR(Q22),MONTH(Q22),1)),IF(Menus_Online!B6=2,MIN(DATE(YEAR(Q24),MONTH(Q24),1),DATE(2024,8,28)),DATE(YEAR(Q24),MONTH(Q24),1)))/30,0),0))</f>
        <v/>
      </c>
      <c r="R18" s="126"/>
      <c r="S18" s="17"/>
    </row>
    <row r="19" spans="1:20" ht="4.1500000000000004" customHeight="1" x14ac:dyDescent="0.25">
      <c r="B19" s="17"/>
      <c r="C19" s="18"/>
      <c r="D19" s="18"/>
      <c r="E19" s="18"/>
      <c r="F19" s="18"/>
      <c r="G19" s="18"/>
      <c r="H19" s="18"/>
      <c r="I19" s="17"/>
      <c r="J19" s="14"/>
      <c r="K19" s="14"/>
      <c r="L19" s="17"/>
      <c r="M19" s="18"/>
      <c r="N19" s="18"/>
      <c r="O19" s="18"/>
      <c r="P19" s="18"/>
      <c r="Q19" s="18"/>
      <c r="R19" s="18"/>
      <c r="S19" s="17"/>
    </row>
    <row r="20" spans="1:20" ht="18" customHeight="1" x14ac:dyDescent="0.25">
      <c r="B20" s="17"/>
      <c r="C20" s="115" t="str">
        <f>IF(OR(Menus_Online!E10&gt;0,'PLANILHA ONLINE'!G8&lt;&gt;""),"Índice Inicial","")</f>
        <v>Índice Inicial</v>
      </c>
      <c r="D20" s="116"/>
      <c r="E20" s="116"/>
      <c r="F20" s="117"/>
      <c r="G20" s="118" t="str">
        <f>IF(OR(G16="",G18=""),"",VLOOKUP(G18,ÍNDICES!A$3:K$926,$E$10))</f>
        <v/>
      </c>
      <c r="H20" s="119"/>
      <c r="I20" s="17"/>
      <c r="J20" s="14"/>
      <c r="K20" s="14"/>
      <c r="L20" s="17"/>
      <c r="M20" s="105" t="str">
        <f>IF(G8="","",IF(Menus_Online!D6=TRUE,"Variação da Selic",IF(OR(Menus_Online!B6=2,Menus_Online!B6=3),IF(AND(Menus!B6=2,G8&lt;DATE(2024,8,$E$108)),"","Selic menos Correção:"),"")))</f>
        <v/>
      </c>
      <c r="N20" s="105"/>
      <c r="O20" s="105"/>
      <c r="P20" s="105"/>
      <c r="Q20" s="125" t="e">
        <f>IFERROR(IF(M20="","",MAX(MAX(0,VLOOKUP(G18,ÍNDICES!A$3:K$926,7)-VLOOKUP(MAX(IF(M18="",0,DATE(2024,8,28)),Q22),ÍNDICES!A$3:K$926,7))+VLOOKUP(G8,ÍNDICES!A$3:K$926,IF(Menus!D6=TRUE,6,7))-VLOOKUP(MAX(IF(M18="",0,DATE(2024,8,28)),Q22,G18),ÍNDICES!A$3:K$926,IF(Menus!D6=TRUE,6,7)),0)),0)+IF(Menus!D6=TRUE,0,VLOOKUP(Q22,ÍNDICES!A3:M927,13)*(DAY(EOMONTH(Q22,0))+1-DAY(Q22))/DAY(EOMONTH(Q22,0))-VLOOKUP(Q24,ÍNDICES!A3:M927,13)*(DAY(EOMONTH(Q24,0))+1-DAY(Q24))/DAY(EOMONTH(Q24,0)))</f>
        <v>#VALUE!</v>
      </c>
      <c r="R20" s="125"/>
      <c r="S20" s="17"/>
    </row>
    <row r="21" spans="1:20" ht="4.1500000000000004" customHeight="1" x14ac:dyDescent="0.25">
      <c r="B21" s="17"/>
      <c r="C21" s="18"/>
      <c r="D21" s="18"/>
      <c r="E21" s="18"/>
      <c r="F21" s="18"/>
      <c r="G21" s="18"/>
      <c r="H21" s="18"/>
      <c r="I21" s="17"/>
      <c r="J21" s="14"/>
      <c r="K21" s="14"/>
      <c r="L21" s="17"/>
      <c r="M21" s="18"/>
      <c r="N21" s="18"/>
      <c r="O21" s="18"/>
      <c r="P21" s="18"/>
      <c r="Q21" s="18"/>
      <c r="R21" s="18"/>
      <c r="S21" s="17"/>
    </row>
    <row r="22" spans="1:20" ht="18" customHeight="1" x14ac:dyDescent="0.25">
      <c r="B22" s="17"/>
      <c r="C22" s="101" t="str">
        <f>IF(Menus_Online!D$6=TRUE,"Tabela Prática até a Data","")</f>
        <v/>
      </c>
      <c r="D22" s="101"/>
      <c r="E22" s="101"/>
      <c r="F22" s="101"/>
      <c r="G22" s="130">
        <f>IF(OR(Menus_Online!D6=FALSE,Q22=""),G8,Q22)</f>
        <v>0</v>
      </c>
      <c r="H22" s="130"/>
      <c r="I22" s="17"/>
      <c r="J22" s="14"/>
      <c r="K22" s="14"/>
      <c r="L22" s="17"/>
      <c r="M22" s="101" t="str">
        <f>IF(AND(Menus_Online!E10&gt;0,'PLANILHA ONLINE'!G8&lt;&gt;"",Q16="Sim"),"Data Inicial","")</f>
        <v/>
      </c>
      <c r="N22" s="101"/>
      <c r="O22" s="101"/>
      <c r="P22" s="101"/>
      <c r="Q22" s="106"/>
      <c r="R22" s="106"/>
      <c r="S22" s="17"/>
    </row>
    <row r="23" spans="1:20" ht="4.1500000000000004" customHeight="1" x14ac:dyDescent="0.25">
      <c r="B23" s="17"/>
      <c r="C23" s="18"/>
      <c r="D23" s="18"/>
      <c r="E23" s="18"/>
      <c r="F23" s="18"/>
      <c r="G23" s="18"/>
      <c r="H23" s="18"/>
      <c r="I23" s="17"/>
      <c r="J23" s="14"/>
      <c r="K23" s="14"/>
      <c r="L23" s="17"/>
      <c r="M23" s="19"/>
      <c r="N23" s="19"/>
      <c r="O23" s="19"/>
      <c r="P23" s="19"/>
      <c r="Q23" s="18"/>
      <c r="R23" s="18"/>
      <c r="S23" s="17"/>
    </row>
    <row r="24" spans="1:20" ht="18" customHeight="1" x14ac:dyDescent="0.25">
      <c r="B24" s="17"/>
      <c r="C24" s="115" t="str">
        <f>IF(AND(Menus_Online!D$6=TRUE,'PLANILHA ONLINE'!G$8&lt;&gt;""),"Índice Final","")</f>
        <v/>
      </c>
      <c r="D24" s="116"/>
      <c r="E24" s="116"/>
      <c r="F24" s="117"/>
      <c r="G24" s="118" t="e">
        <f>IF(OR(G20="",G22=""),G10,VLOOKUP(G22,ÍNDICES!A$3:K$926,$E$10))</f>
        <v>#N/A</v>
      </c>
      <c r="H24" s="119"/>
      <c r="I24" s="17"/>
      <c r="J24" s="14"/>
      <c r="K24" s="14"/>
      <c r="L24" s="17"/>
      <c r="M24" s="101" t="str">
        <f>IF(OR(G8="",M22=""),"","Data Final")</f>
        <v/>
      </c>
      <c r="N24" s="101"/>
      <c r="O24" s="101"/>
      <c r="P24" s="101"/>
      <c r="Q24" s="129" t="str">
        <f>IF(G8="","",G8)</f>
        <v/>
      </c>
      <c r="R24" s="129"/>
      <c r="S24" s="17"/>
    </row>
    <row r="25" spans="1:20" ht="4.1500000000000004" customHeight="1" x14ac:dyDescent="0.25">
      <c r="B25" s="17"/>
      <c r="C25" s="20"/>
      <c r="D25" s="20"/>
      <c r="E25" s="20"/>
      <c r="F25" s="20"/>
      <c r="G25" s="21"/>
      <c r="H25" s="21"/>
      <c r="I25" s="17"/>
      <c r="J25" s="14"/>
      <c r="K25" s="14"/>
      <c r="L25" s="17"/>
      <c r="M25" s="18"/>
      <c r="N25" s="18"/>
      <c r="O25" s="18"/>
      <c r="P25" s="18"/>
      <c r="Q25" s="18"/>
      <c r="R25" s="18"/>
      <c r="S25" s="17"/>
    </row>
    <row r="26" spans="1:20" ht="18" customHeight="1" x14ac:dyDescent="0.25">
      <c r="B26" s="17"/>
      <c r="C26" s="110" t="str">
        <f>IF(AND(Menus_Online!E10&gt;0,$G$8&lt;&gt;""),"Valor Corrigido","")</f>
        <v/>
      </c>
      <c r="D26" s="111"/>
      <c r="E26" s="111"/>
      <c r="F26" s="112"/>
      <c r="G26" s="113" t="str">
        <f>IF(OR(G8="",G16="",G18=""),"",(G16/G20*IF(Menus_Online!D6=FALSE,G10,G24)))</f>
        <v/>
      </c>
      <c r="H26" s="114"/>
      <c r="I26" s="56"/>
      <c r="J26" s="14"/>
      <c r="K26" s="14"/>
      <c r="L26" s="17"/>
      <c r="M26" s="101" t="b">
        <f>IF('PLANILHA ONLINE'!G8&lt;&gt;"",IF(Menus_Online!D6=TRUE,"Selic","Juros"))</f>
        <v>0</v>
      </c>
      <c r="N26" s="101"/>
      <c r="O26" s="101"/>
      <c r="P26" s="101"/>
      <c r="Q26" s="100" t="str">
        <f>IF(AND(Menus_Online!E10&gt;1),"ERRO",IF(AND(G26&lt;&gt;"",Q16&lt;&gt;"",Q22&lt;&gt;"",Q24&lt;&gt;""),G26*(SUM(Q18:R20)),""))</f>
        <v/>
      </c>
      <c r="R26" s="100"/>
      <c r="S26" s="17"/>
    </row>
    <row r="27" spans="1:20" ht="4.1500000000000004" customHeight="1" x14ac:dyDescent="0.25">
      <c r="B27" s="17"/>
      <c r="C27" s="18"/>
      <c r="D27" s="18"/>
      <c r="E27" s="18"/>
      <c r="F27" s="18"/>
      <c r="G27" s="55"/>
      <c r="H27" s="18"/>
      <c r="I27" s="17"/>
      <c r="J27" s="14"/>
      <c r="K27" s="14"/>
      <c r="L27" s="17"/>
      <c r="M27" s="17"/>
      <c r="N27" s="17"/>
      <c r="O27" s="17"/>
      <c r="P27" s="17"/>
      <c r="Q27" s="17"/>
      <c r="R27" s="17"/>
      <c r="S27" s="17"/>
    </row>
    <row r="28" spans="1:20" s="14" customFormat="1" ht="4.1500000000000004" customHeight="1" x14ac:dyDescent="0.25"/>
    <row r="29" spans="1:20" ht="4.1500000000000004" customHeight="1" x14ac:dyDescent="0.25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</row>
    <row r="30" spans="1:20" s="23" customFormat="1" ht="4.1500000000000004" customHeight="1" x14ac:dyDescent="0.25">
      <c r="A30" s="22"/>
      <c r="B30" s="18"/>
      <c r="C30" s="109"/>
      <c r="D30" s="109"/>
      <c r="E30" s="10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22"/>
    </row>
    <row r="31" spans="1:20" ht="4.1500000000000004" customHeight="1" x14ac:dyDescent="0.25">
      <c r="B31" s="17"/>
      <c r="C31" s="17"/>
      <c r="D31" s="17"/>
      <c r="E31" s="17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7"/>
      <c r="Q31" s="17"/>
      <c r="R31" s="17"/>
      <c r="S31" s="17"/>
    </row>
    <row r="32" spans="1:20" s="23" customFormat="1" ht="18" customHeight="1" x14ac:dyDescent="0.25">
      <c r="A32" s="22"/>
      <c r="B32" s="18"/>
      <c r="C32" s="18"/>
      <c r="D32" s="18"/>
      <c r="E32" s="18"/>
      <c r="F32" s="97" t="str">
        <f>IF(AND(G26&lt;&gt;"",Q16="Não"),"Principal com Correção",IF(AND(G26&lt;&gt;"",Q16="Sim",Q26&lt;&gt;""),"Principal com Correção e Juros",""))</f>
        <v/>
      </c>
      <c r="G32" s="98"/>
      <c r="H32" s="98"/>
      <c r="I32" s="98"/>
      <c r="J32" s="99"/>
      <c r="K32" s="93" t="str">
        <f>IF(AND(G22=0),"",IF(AND(Q16="Sim",Q22&lt;&gt;"",Q24&lt;&gt;""),G26+Q26,IF(Q16="Não",G26,"")))</f>
        <v/>
      </c>
      <c r="L32" s="131"/>
      <c r="M32" s="131"/>
      <c r="N32" s="131"/>
      <c r="O32" s="94"/>
      <c r="P32" s="18"/>
      <c r="Q32" s="18"/>
      <c r="R32" s="18"/>
      <c r="S32" s="18"/>
      <c r="T32" s="22"/>
    </row>
    <row r="33" spans="1:20" ht="4.1500000000000004" customHeight="1" x14ac:dyDescent="0.25">
      <c r="B33" s="17"/>
      <c r="C33" s="17"/>
      <c r="D33" s="17"/>
      <c r="E33" s="17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7"/>
      <c r="Q33" s="17"/>
      <c r="R33" s="17"/>
      <c r="S33" s="17"/>
    </row>
    <row r="34" spans="1:20" s="23" customFormat="1" ht="4.1500000000000004" customHeight="1" x14ac:dyDescent="0.25">
      <c r="A34" s="22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22"/>
    </row>
    <row r="35" spans="1:20" ht="4.1500000000000004" customHeight="1" x14ac:dyDescent="0.25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</row>
    <row r="36" spans="1:20" s="14" customFormat="1" ht="4.1500000000000004" customHeight="1" x14ac:dyDescent="0.25"/>
    <row r="37" spans="1:20" ht="4.1500000000000004" customHeight="1" x14ac:dyDescent="0.25">
      <c r="B37" s="17"/>
      <c r="C37" s="17"/>
      <c r="D37" s="17"/>
      <c r="E37" s="17"/>
      <c r="F37" s="17"/>
      <c r="G37" s="17"/>
      <c r="H37" s="17"/>
      <c r="I37" s="17"/>
      <c r="L37" s="17"/>
      <c r="M37" s="17"/>
      <c r="N37" s="17"/>
      <c r="O37" s="17"/>
      <c r="P37" s="17"/>
      <c r="Q37" s="17"/>
      <c r="R37" s="17"/>
      <c r="S37" s="17"/>
    </row>
    <row r="38" spans="1:20" ht="18" customHeight="1" x14ac:dyDescent="0.25">
      <c r="B38" s="17"/>
      <c r="C38" s="109" t="s">
        <v>3</v>
      </c>
      <c r="D38" s="109"/>
      <c r="E38" s="109"/>
      <c r="F38" s="109"/>
      <c r="G38" s="109"/>
      <c r="H38" s="109"/>
      <c r="I38" s="17"/>
      <c r="L38" s="17"/>
      <c r="M38" s="109" t="s">
        <v>4</v>
      </c>
      <c r="N38" s="109"/>
      <c r="O38" s="109"/>
      <c r="P38" s="109"/>
      <c r="Q38" s="109"/>
      <c r="R38" s="109"/>
      <c r="S38" s="17"/>
    </row>
    <row r="39" spans="1:20" ht="36" customHeight="1" x14ac:dyDescent="0.25">
      <c r="B39" s="17"/>
      <c r="C39" s="123" t="str">
        <f>IF(D41="","SELECIONE A BASE DE CÁLCULO NO MENU ABAIXO",IF(AND(D41="Valor da Condenação",G43=""),"VERIFIQUE CORREÇÃO MONETÁRIA E JUROS MORATÓRIOS",IF(AND(D41="Valor da Condenação",G43&lt;&gt;"",G45=""),"INDIQUE A PORCENTAGEM APLICADA, DENTRE O MÍNIMO DE DEZ E O MÁXIMO DE 20 POR CENTO!","")))</f>
        <v/>
      </c>
      <c r="D39" s="123"/>
      <c r="E39" s="123"/>
      <c r="F39" s="123"/>
      <c r="G39" s="123"/>
      <c r="H39" s="123"/>
      <c r="I39" s="17"/>
      <c r="L39" s="17"/>
      <c r="M39" s="17"/>
      <c r="N39" s="17"/>
      <c r="O39" s="17"/>
      <c r="P39" s="17"/>
      <c r="Q39" s="17"/>
      <c r="R39" s="17"/>
      <c r="S39" s="17"/>
    </row>
    <row r="40" spans="1:20" ht="4.1500000000000004" customHeight="1" thickBot="1" x14ac:dyDescent="0.3">
      <c r="B40" s="17"/>
      <c r="C40" s="24"/>
      <c r="D40" s="17"/>
      <c r="E40" s="17"/>
      <c r="F40" s="17"/>
      <c r="G40" s="17"/>
      <c r="H40" s="17"/>
      <c r="I40" s="17"/>
      <c r="L40" s="17"/>
      <c r="M40" s="17"/>
      <c r="N40" s="17"/>
      <c r="O40" s="17"/>
      <c r="P40" s="17"/>
      <c r="Q40" s="17"/>
      <c r="R40" s="17"/>
      <c r="S40" s="17"/>
    </row>
    <row r="41" spans="1:20" ht="18" customHeight="1" thickBot="1" x14ac:dyDescent="0.3">
      <c r="B41" s="17"/>
      <c r="C41" s="17"/>
      <c r="D41" s="120" t="s">
        <v>58</v>
      </c>
      <c r="E41" s="121"/>
      <c r="F41" s="121"/>
      <c r="G41" s="122"/>
      <c r="H41" s="17"/>
      <c r="I41" s="17"/>
      <c r="L41" s="17"/>
      <c r="M41" s="127" t="s">
        <v>5</v>
      </c>
      <c r="N41" s="127"/>
      <c r="O41" s="19" t="s">
        <v>6</v>
      </c>
      <c r="P41" s="19" t="s">
        <v>7</v>
      </c>
      <c r="Q41" s="19" t="s">
        <v>8</v>
      </c>
      <c r="R41" s="19" t="s">
        <v>9</v>
      </c>
      <c r="S41" s="17"/>
    </row>
    <row r="42" spans="1:20" ht="4.1500000000000004" customHeight="1" x14ac:dyDescent="0.25">
      <c r="B42" s="17"/>
      <c r="C42" s="17"/>
      <c r="D42" s="17"/>
      <c r="E42" s="17"/>
      <c r="F42" s="17"/>
      <c r="G42" s="17"/>
      <c r="H42" s="17"/>
      <c r="I42" s="17"/>
      <c r="L42" s="17"/>
      <c r="M42" s="18"/>
      <c r="N42" s="18"/>
      <c r="O42" s="18"/>
      <c r="P42" s="18"/>
      <c r="Q42" s="18"/>
      <c r="R42" s="18"/>
      <c r="S42" s="17"/>
    </row>
    <row r="43" spans="1:20" ht="18" customHeight="1" x14ac:dyDescent="0.25">
      <c r="B43" s="17"/>
      <c r="C43" s="97" t="str">
        <f>IF(D41="Valor da Condenação","Valor da Condenação","")</f>
        <v/>
      </c>
      <c r="D43" s="98"/>
      <c r="E43" s="98"/>
      <c r="F43" s="99"/>
      <c r="G43" s="93" t="str">
        <f>IFERROR(IF(K32=0,"",K32),"")</f>
        <v/>
      </c>
      <c r="H43" s="94"/>
      <c r="I43" s="17"/>
      <c r="L43" s="17"/>
      <c r="M43" s="161"/>
      <c r="N43" s="162"/>
      <c r="O43" s="25"/>
      <c r="P43" s="26" t="str">
        <f>IF(M43="","",VLOOKUP(M43,ÍNDICES!A$3:K$926,$E$10))</f>
        <v/>
      </c>
      <c r="Q43" s="27"/>
      <c r="R43" s="28" t="str">
        <f>IF(OR($G$8="",M43="",Q43=""),"",Q43/P43*G$10)</f>
        <v/>
      </c>
      <c r="S43" s="17"/>
    </row>
    <row r="44" spans="1:20" ht="4.1500000000000004" customHeight="1" x14ac:dyDescent="0.25">
      <c r="B44" s="17"/>
      <c r="C44" s="17"/>
      <c r="D44" s="17"/>
      <c r="E44" s="17"/>
      <c r="F44" s="17"/>
      <c r="G44" s="17"/>
      <c r="H44" s="17"/>
      <c r="I44" s="17"/>
      <c r="L44" s="17"/>
      <c r="M44" s="18"/>
      <c r="N44" s="18"/>
      <c r="O44" s="20"/>
      <c r="P44" s="20"/>
      <c r="Q44" s="29"/>
      <c r="R44" s="30"/>
      <c r="S44" s="17"/>
    </row>
    <row r="45" spans="1:20" ht="18" customHeight="1" x14ac:dyDescent="0.25">
      <c r="B45" s="17"/>
      <c r="C45" s="101" t="str">
        <f>IF(D41="Valor da Condenação","% Aplicada","")</f>
        <v/>
      </c>
      <c r="D45" s="101"/>
      <c r="E45" s="101"/>
      <c r="F45" s="101"/>
      <c r="G45" s="92"/>
      <c r="H45" s="92"/>
      <c r="I45" s="17"/>
      <c r="L45" s="17"/>
      <c r="M45" s="161"/>
      <c r="N45" s="162"/>
      <c r="O45" s="25"/>
      <c r="P45" s="26" t="str">
        <f>IF(M45="","",VLOOKUP(M45,ÍNDICES!A$3:K$926,$E$10))</f>
        <v/>
      </c>
      <c r="Q45" s="27"/>
      <c r="R45" s="28" t="str">
        <f>IF(OR($G$8="",M45="",Q45=""),"",Q45/P45*G$10)</f>
        <v/>
      </c>
      <c r="S45" s="17"/>
    </row>
    <row r="46" spans="1:20" ht="4.1500000000000004" customHeight="1" x14ac:dyDescent="0.25">
      <c r="B46" s="17"/>
      <c r="C46" s="17"/>
      <c r="D46" s="17"/>
      <c r="E46" s="17"/>
      <c r="F46" s="17"/>
      <c r="G46" s="17"/>
      <c r="H46" s="17"/>
      <c r="I46" s="17"/>
      <c r="L46" s="17"/>
      <c r="M46" s="18"/>
      <c r="N46" s="18"/>
      <c r="O46" s="20"/>
      <c r="P46" s="20"/>
      <c r="Q46" s="29"/>
      <c r="R46" s="30"/>
      <c r="S46" s="17"/>
    </row>
    <row r="47" spans="1:20" ht="18" customHeight="1" x14ac:dyDescent="0.25">
      <c r="B47" s="17"/>
      <c r="C47" s="101" t="str">
        <f>IF(D41="Valor da Condenação","Valor dos Honorários","")</f>
        <v/>
      </c>
      <c r="D47" s="101"/>
      <c r="E47" s="101"/>
      <c r="F47" s="101"/>
      <c r="G47" s="100" t="str">
        <f>IF(OR(G43="",G45=""),"",G43*G45)</f>
        <v/>
      </c>
      <c r="H47" s="107"/>
      <c r="I47" s="17"/>
      <c r="L47" s="17"/>
      <c r="M47" s="161"/>
      <c r="N47" s="162"/>
      <c r="O47" s="25"/>
      <c r="P47" s="26" t="str">
        <f>IF(M47="","",VLOOKUP(M47,ÍNDICES!A$3:K$926,$E$10))</f>
        <v/>
      </c>
      <c r="Q47" s="27"/>
      <c r="R47" s="28" t="str">
        <f>IF(OR($G$8="",M47="",Q47=""),"",Q47/P47*G$10)</f>
        <v/>
      </c>
      <c r="S47" s="17"/>
    </row>
    <row r="48" spans="1:20" ht="4.1500000000000004" customHeight="1" x14ac:dyDescent="0.25">
      <c r="B48" s="17"/>
      <c r="C48" s="17"/>
      <c r="D48" s="17"/>
      <c r="E48" s="17"/>
      <c r="F48" s="17"/>
      <c r="G48" s="17"/>
      <c r="H48" s="17"/>
      <c r="I48" s="17"/>
      <c r="L48" s="17"/>
      <c r="M48" s="18"/>
      <c r="N48" s="18"/>
      <c r="O48" s="20"/>
      <c r="P48" s="20"/>
      <c r="Q48" s="29"/>
      <c r="R48" s="30"/>
      <c r="S48" s="17"/>
    </row>
    <row r="49" spans="2:19" s="14" customFormat="1" ht="18" customHeight="1" x14ac:dyDescent="0.25">
      <c r="B49" s="17"/>
      <c r="C49" s="127" t="s">
        <v>10</v>
      </c>
      <c r="D49" s="127"/>
      <c r="E49" s="127"/>
      <c r="F49" s="127"/>
      <c r="G49" s="108"/>
      <c r="H49" s="109"/>
      <c r="I49" s="17"/>
      <c r="J49" s="15"/>
      <c r="K49" s="15"/>
      <c r="L49" s="17"/>
      <c r="M49" s="161"/>
      <c r="N49" s="162"/>
      <c r="O49" s="25"/>
      <c r="P49" s="26" t="str">
        <f>IF(M49="","",VLOOKUP(M49,ÍNDICES!A$3:K$926,$E$10))</f>
        <v/>
      </c>
      <c r="Q49" s="27"/>
      <c r="R49" s="28" t="str">
        <f>IF(OR($G$8="",M49="",Q49=""),"",Q49/P49*G$10)</f>
        <v/>
      </c>
      <c r="S49" s="17"/>
    </row>
    <row r="50" spans="2:19" s="14" customFormat="1" ht="3" customHeight="1" x14ac:dyDescent="0.25">
      <c r="B50" s="17"/>
      <c r="C50" s="31"/>
      <c r="D50" s="31"/>
      <c r="E50" s="31"/>
      <c r="F50" s="31"/>
      <c r="G50" s="32"/>
      <c r="H50" s="33"/>
      <c r="I50" s="17"/>
      <c r="J50" s="15"/>
      <c r="K50" s="15"/>
      <c r="L50" s="17"/>
      <c r="M50" s="34"/>
      <c r="N50" s="34"/>
      <c r="O50" s="34"/>
      <c r="P50" s="20"/>
      <c r="Q50" s="35"/>
      <c r="R50" s="30"/>
      <c r="S50" s="17"/>
    </row>
    <row r="51" spans="2:19" s="14" customFormat="1" ht="18" customHeight="1" x14ac:dyDescent="0.25">
      <c r="B51" s="17"/>
      <c r="C51" s="127"/>
      <c r="D51" s="127"/>
      <c r="E51" s="127"/>
      <c r="F51" s="127"/>
      <c r="G51" s="108" t="s">
        <v>11</v>
      </c>
      <c r="H51" s="108"/>
      <c r="I51" s="17"/>
      <c r="J51" s="15"/>
      <c r="K51" s="15"/>
      <c r="L51" s="17"/>
      <c r="M51" s="161"/>
      <c r="N51" s="162"/>
      <c r="O51" s="25"/>
      <c r="P51" s="26" t="str">
        <f>IF(M51="","",VLOOKUP(M51,ÍNDICES!A$3:K$926,$E$10))</f>
        <v/>
      </c>
      <c r="Q51" s="27"/>
      <c r="R51" s="28" t="str">
        <f>IF(OR($G$8="",M51="",Q51=""),"",Q51/P51*G$10)</f>
        <v/>
      </c>
      <c r="S51" s="17"/>
    </row>
    <row r="52" spans="2:19" s="14" customFormat="1" ht="4.1500000000000004" customHeight="1" x14ac:dyDescent="0.25">
      <c r="B52" s="17"/>
      <c r="C52" s="18"/>
      <c r="D52" s="18"/>
      <c r="E52" s="18"/>
      <c r="F52" s="17"/>
      <c r="G52" s="17"/>
      <c r="H52" s="17"/>
      <c r="I52" s="17"/>
      <c r="J52" s="15"/>
      <c r="K52" s="15"/>
      <c r="L52" s="17"/>
      <c r="M52" s="18"/>
      <c r="N52" s="18"/>
      <c r="O52" s="20"/>
      <c r="P52" s="20"/>
      <c r="Q52" s="29"/>
      <c r="R52" s="30"/>
      <c r="S52" s="17"/>
    </row>
    <row r="53" spans="2:19" s="14" customFormat="1" ht="18" customHeight="1" x14ac:dyDescent="0.25">
      <c r="B53" s="17"/>
      <c r="C53" s="128" t="str">
        <f>IF(AND(D41="Outra Forma de Cálculo",D55=""),"SELECIONE A FORMA DE CÁLCULO NO MENU ABAIXO",IF(AND(D41="Outra Forma de Cálculo",D55="Valor Arbitrado",OR(G57="",G59="",G65="",G69="")),"PREENCHA OS CAMPOS EM BRANCO",IF(AND(D41="Outra Forma de Cálculo",D55="Valor da Causa",OR(G57="",G59="",G65="",G69="",G73="")),"PREENCHA OS CAMPOS EM BRANCO","")))</f>
        <v>SELECIONE A FORMA DE CÁLCULO NO MENU ABAIXO</v>
      </c>
      <c r="D53" s="128"/>
      <c r="E53" s="128"/>
      <c r="F53" s="128"/>
      <c r="G53" s="128"/>
      <c r="H53" s="128"/>
      <c r="I53" s="17"/>
      <c r="J53" s="15"/>
      <c r="K53" s="15"/>
      <c r="L53" s="17"/>
      <c r="M53" s="161"/>
      <c r="N53" s="164"/>
      <c r="O53" s="25"/>
      <c r="P53" s="26" t="str">
        <f>IF(M53="","",VLOOKUP(M53,ÍNDICES!A$3:K$926,$E$10))</f>
        <v/>
      </c>
      <c r="Q53" s="27"/>
      <c r="R53" s="28" t="str">
        <f>IF(OR($G$8="",M53="",Q53=""),"",Q53/P53*G$10)</f>
        <v/>
      </c>
      <c r="S53" s="17"/>
    </row>
    <row r="54" spans="2:19" s="14" customFormat="1" ht="4.1500000000000004" customHeight="1" thickBot="1" x14ac:dyDescent="0.3">
      <c r="B54" s="17"/>
      <c r="C54" s="36"/>
      <c r="D54" s="36"/>
      <c r="E54" s="36"/>
      <c r="F54" s="36"/>
      <c r="G54" s="36"/>
      <c r="H54" s="36"/>
      <c r="I54" s="17"/>
      <c r="J54" s="15"/>
      <c r="K54" s="15"/>
      <c r="L54" s="17"/>
      <c r="M54" s="18"/>
      <c r="N54" s="18"/>
      <c r="O54" s="20"/>
      <c r="P54" s="20"/>
      <c r="Q54" s="29"/>
      <c r="R54" s="30"/>
      <c r="S54" s="17"/>
    </row>
    <row r="55" spans="2:19" s="14" customFormat="1" ht="18" customHeight="1" thickBot="1" x14ac:dyDescent="0.3">
      <c r="B55" s="17"/>
      <c r="C55" s="17"/>
      <c r="D55" s="120"/>
      <c r="E55" s="121"/>
      <c r="F55" s="121"/>
      <c r="G55" s="122"/>
      <c r="H55" s="17"/>
      <c r="I55" s="17"/>
      <c r="J55" s="15"/>
      <c r="K55" s="15"/>
      <c r="L55" s="17"/>
      <c r="M55" s="161"/>
      <c r="N55" s="162"/>
      <c r="O55" s="25"/>
      <c r="P55" s="26" t="str">
        <f>IF(M55="","",VLOOKUP(M55,ÍNDICES!A$3:K$926,$E$10))</f>
        <v/>
      </c>
      <c r="Q55" s="27"/>
      <c r="R55" s="28" t="str">
        <f>IF(OR($G$8="",M55="",Q55=""),"",Q55/P55*G$10)</f>
        <v/>
      </c>
      <c r="S55" s="17"/>
    </row>
    <row r="56" spans="2:19" s="14" customFormat="1" ht="4.1500000000000004" customHeight="1" x14ac:dyDescent="0.25">
      <c r="B56" s="17"/>
      <c r="C56" s="17"/>
      <c r="D56" s="17"/>
      <c r="E56" s="17"/>
      <c r="F56" s="17"/>
      <c r="G56" s="17"/>
      <c r="H56" s="17"/>
      <c r="I56" s="17"/>
      <c r="J56" s="15"/>
      <c r="K56" s="15"/>
      <c r="L56" s="17"/>
      <c r="M56" s="18"/>
      <c r="N56" s="18"/>
      <c r="O56" s="20"/>
      <c r="P56" s="20"/>
      <c r="Q56" s="29"/>
      <c r="R56" s="30"/>
      <c r="S56" s="17"/>
    </row>
    <row r="57" spans="2:19" s="14" customFormat="1" ht="18" customHeight="1" x14ac:dyDescent="0.25">
      <c r="B57" s="17"/>
      <c r="C57" s="101" t="str">
        <f>IF(D55="Valor Arbitrado","Valor do Arbitramento",IF(D55="Valor da Causa","Valor da Causa",""))</f>
        <v/>
      </c>
      <c r="D57" s="101"/>
      <c r="E57" s="101"/>
      <c r="F57" s="101"/>
      <c r="G57" s="124"/>
      <c r="H57" s="124"/>
      <c r="I57" s="17"/>
      <c r="J57" s="15"/>
      <c r="K57" s="15"/>
      <c r="L57" s="17"/>
      <c r="M57" s="161"/>
      <c r="N57" s="162"/>
      <c r="O57" s="25"/>
      <c r="P57" s="26" t="str">
        <f>IF(M57="","",VLOOKUP(M57,ÍNDICES!A$3:K$926,$E$10))</f>
        <v/>
      </c>
      <c r="Q57" s="27"/>
      <c r="R57" s="28" t="str">
        <f>IF(OR($G$8="",M57="",Q57=""),"",Q57/P57*G$10)</f>
        <v/>
      </c>
      <c r="S57" s="17"/>
    </row>
    <row r="58" spans="2:19" s="14" customFormat="1" ht="4.1500000000000004" customHeight="1" x14ac:dyDescent="0.25">
      <c r="B58" s="17"/>
      <c r="C58" s="18"/>
      <c r="D58" s="18"/>
      <c r="E58" s="18"/>
      <c r="F58" s="18"/>
      <c r="G58" s="18"/>
      <c r="H58" s="18"/>
      <c r="I58" s="17"/>
      <c r="J58" s="15"/>
      <c r="K58" s="15"/>
      <c r="L58" s="17"/>
      <c r="M58" s="18"/>
      <c r="N58" s="18"/>
      <c r="O58" s="20"/>
      <c r="P58" s="20"/>
      <c r="Q58" s="29"/>
      <c r="R58" s="30"/>
      <c r="S58" s="17"/>
    </row>
    <row r="59" spans="2:19" s="14" customFormat="1" ht="18" customHeight="1" x14ac:dyDescent="0.25">
      <c r="B59" s="17"/>
      <c r="C59" s="101" t="str">
        <f>IF(D55="Valor Arbitrado","Data do Arbitramento",IF(D55="Valor da Causa","Data do Ajuizamento",""))</f>
        <v/>
      </c>
      <c r="D59" s="101"/>
      <c r="E59" s="101"/>
      <c r="F59" s="101"/>
      <c r="G59" s="106"/>
      <c r="H59" s="106"/>
      <c r="I59" s="17"/>
      <c r="J59" s="15"/>
      <c r="K59" s="15"/>
      <c r="L59" s="17"/>
      <c r="M59" s="161"/>
      <c r="N59" s="162"/>
      <c r="O59" s="25"/>
      <c r="P59" s="26" t="str">
        <f>IF(M59="","",VLOOKUP(M59,ÍNDICES!A$3:K$926,$E$10))</f>
        <v/>
      </c>
      <c r="Q59" s="27"/>
      <c r="R59" s="28" t="str">
        <f>IF(OR($G$8="",M59="",Q59=""),"",Q59/P59*G$10)</f>
        <v/>
      </c>
      <c r="S59" s="17"/>
    </row>
    <row r="60" spans="2:19" s="14" customFormat="1" ht="4.1500000000000004" customHeight="1" x14ac:dyDescent="0.25">
      <c r="B60" s="17"/>
      <c r="C60" s="18"/>
      <c r="D60" s="18"/>
      <c r="E60" s="18"/>
      <c r="F60" s="18"/>
      <c r="G60" s="18"/>
      <c r="H60" s="18"/>
      <c r="I60" s="17"/>
      <c r="J60" s="15"/>
      <c r="K60" s="15"/>
      <c r="L60" s="17"/>
      <c r="M60" s="18"/>
      <c r="N60" s="18"/>
      <c r="O60" s="20"/>
      <c r="P60" s="20"/>
      <c r="Q60" s="29"/>
      <c r="R60" s="30"/>
      <c r="S60" s="17"/>
    </row>
    <row r="61" spans="2:19" s="14" customFormat="1" ht="18" customHeight="1" x14ac:dyDescent="0.25">
      <c r="B61" s="17"/>
      <c r="C61" s="105" t="s">
        <v>12</v>
      </c>
      <c r="D61" s="105"/>
      <c r="E61" s="105"/>
      <c r="F61" s="105"/>
      <c r="G61" s="102" t="str">
        <f>IF(G59="","",VLOOKUP(G59,ÍNDICES!A$3:K$926,$E$10))</f>
        <v/>
      </c>
      <c r="H61" s="102"/>
      <c r="I61" s="17"/>
      <c r="J61" s="15"/>
      <c r="K61" s="15"/>
      <c r="L61" s="17"/>
      <c r="M61" s="161"/>
      <c r="N61" s="162"/>
      <c r="O61" s="25"/>
      <c r="P61" s="26" t="str">
        <f>IF(M61="","",VLOOKUP(M61,ÍNDICES!A$3:K$926,$E$10))</f>
        <v/>
      </c>
      <c r="Q61" s="27"/>
      <c r="R61" s="28" t="str">
        <f>IF(OR($G$8="",M61="",Q61=""),"",Q61/P61*G$10)</f>
        <v/>
      </c>
      <c r="S61" s="17"/>
    </row>
    <row r="62" spans="2:19" s="14" customFormat="1" ht="4.1500000000000004" customHeight="1" x14ac:dyDescent="0.25">
      <c r="B62" s="17"/>
      <c r="C62" s="18"/>
      <c r="D62" s="18"/>
      <c r="E62" s="18"/>
      <c r="F62" s="18"/>
      <c r="G62" s="18"/>
      <c r="H62" s="18"/>
      <c r="I62" s="17"/>
      <c r="J62" s="15"/>
      <c r="K62" s="15"/>
      <c r="L62" s="17"/>
      <c r="M62" s="18"/>
      <c r="N62" s="18"/>
      <c r="O62" s="20"/>
      <c r="P62" s="20"/>
      <c r="Q62" s="29"/>
      <c r="R62" s="30"/>
      <c r="S62" s="17"/>
    </row>
    <row r="63" spans="2:19" s="14" customFormat="1" ht="18" customHeight="1" x14ac:dyDescent="0.25">
      <c r="B63" s="17"/>
      <c r="C63" s="101" t="s">
        <v>9</v>
      </c>
      <c r="D63" s="101"/>
      <c r="E63" s="101"/>
      <c r="F63" s="101"/>
      <c r="G63" s="100" t="str">
        <f>IF(OR(G57="",G59=""),"",(G57/G61*G10))</f>
        <v/>
      </c>
      <c r="H63" s="100"/>
      <c r="I63" s="17"/>
      <c r="J63" s="15"/>
      <c r="K63" s="15"/>
      <c r="L63" s="17"/>
      <c r="M63" s="161"/>
      <c r="N63" s="162"/>
      <c r="O63" s="25"/>
      <c r="P63" s="26" t="str">
        <f>IF(M63="","",VLOOKUP(M63,ÍNDICES!A$3:K$926,$E$10))</f>
        <v/>
      </c>
      <c r="Q63" s="27"/>
      <c r="R63" s="28" t="str">
        <f>IF(OR($G$8="",M63="",Q63=""),"",Q63/P63*G$10)</f>
        <v/>
      </c>
      <c r="S63" s="17"/>
    </row>
    <row r="64" spans="2:19" s="14" customFormat="1" ht="4.1500000000000004" customHeight="1" x14ac:dyDescent="0.25">
      <c r="B64" s="17"/>
      <c r="C64" s="18"/>
      <c r="D64" s="18"/>
      <c r="E64" s="18"/>
      <c r="F64" s="18"/>
      <c r="G64" s="18"/>
      <c r="H64" s="18"/>
      <c r="I64" s="17"/>
      <c r="J64" s="15"/>
      <c r="K64" s="15"/>
      <c r="L64" s="17"/>
      <c r="M64" s="18"/>
      <c r="N64" s="18"/>
      <c r="O64" s="20"/>
      <c r="P64" s="20"/>
      <c r="Q64" s="29"/>
      <c r="R64" s="30"/>
      <c r="S64" s="17"/>
    </row>
    <row r="65" spans="2:19" s="14" customFormat="1" ht="18" customHeight="1" x14ac:dyDescent="0.25">
      <c r="B65" s="17"/>
      <c r="C65" s="101" t="s">
        <v>13</v>
      </c>
      <c r="D65" s="101"/>
      <c r="E65" s="101"/>
      <c r="F65" s="101"/>
      <c r="G65" s="104"/>
      <c r="H65" s="104"/>
      <c r="I65" s="17"/>
      <c r="J65" s="15"/>
      <c r="K65" s="15"/>
      <c r="L65" s="17"/>
      <c r="M65" s="161"/>
      <c r="N65" s="162"/>
      <c r="O65" s="25"/>
      <c r="P65" s="26" t="str">
        <f>IF(M65="","",VLOOKUP(M65,ÍNDICES!A$3:K$926,$E$10))</f>
        <v/>
      </c>
      <c r="Q65" s="27"/>
      <c r="R65" s="28" t="str">
        <f>IF(OR($G$8="",M65="",Q65=""),"",Q65/P65*G$10)</f>
        <v/>
      </c>
      <c r="S65" s="17"/>
    </row>
    <row r="66" spans="2:19" s="14" customFormat="1" ht="4.1500000000000004" customHeight="1" x14ac:dyDescent="0.25">
      <c r="B66" s="17"/>
      <c r="C66" s="18"/>
      <c r="D66" s="18"/>
      <c r="E66" s="18"/>
      <c r="F66" s="18"/>
      <c r="G66" s="18"/>
      <c r="H66" s="18"/>
      <c r="I66" s="17"/>
      <c r="J66" s="15"/>
      <c r="K66" s="15"/>
      <c r="L66" s="17"/>
      <c r="M66" s="18"/>
      <c r="N66" s="18"/>
      <c r="O66" s="20"/>
      <c r="P66" s="20"/>
      <c r="Q66" s="29"/>
      <c r="R66" s="30"/>
      <c r="S66" s="17"/>
    </row>
    <row r="67" spans="2:19" s="14" customFormat="1" ht="18" customHeight="1" x14ac:dyDescent="0.25">
      <c r="B67" s="17"/>
      <c r="C67" s="105" t="s">
        <v>82</v>
      </c>
      <c r="D67" s="105"/>
      <c r="E67" s="105"/>
      <c r="F67" s="105"/>
      <c r="G67" s="103" t="s">
        <v>83</v>
      </c>
      <c r="H67" s="103"/>
      <c r="I67" s="17"/>
      <c r="J67" s="15"/>
      <c r="K67" s="15"/>
      <c r="L67" s="17"/>
      <c r="M67" s="161"/>
      <c r="N67" s="162"/>
      <c r="O67" s="25"/>
      <c r="P67" s="26" t="str">
        <f>IF(M67="","",VLOOKUP(M67,ÍNDICES!A$3:K$926,$E$10))</f>
        <v/>
      </c>
      <c r="Q67" s="27"/>
      <c r="R67" s="28" t="str">
        <f>IF(OR($G$8="",M67="",Q67=""),"",Q67/P67*G$10)</f>
        <v/>
      </c>
      <c r="S67" s="17"/>
    </row>
    <row r="68" spans="2:19" s="14" customFormat="1" ht="4.1500000000000004" customHeight="1" x14ac:dyDescent="0.25">
      <c r="B68" s="17"/>
      <c r="C68" s="18"/>
      <c r="D68" s="18"/>
      <c r="E68" s="18"/>
      <c r="F68" s="18"/>
      <c r="G68" s="18"/>
      <c r="H68" s="18"/>
      <c r="I68" s="17"/>
      <c r="J68" s="15"/>
      <c r="K68" s="15"/>
      <c r="L68" s="17"/>
      <c r="M68" s="18"/>
      <c r="N68" s="18"/>
      <c r="O68" s="20"/>
      <c r="P68" s="20"/>
      <c r="Q68" s="29"/>
      <c r="R68" s="30"/>
      <c r="S68" s="17"/>
    </row>
    <row r="69" spans="2:19" s="14" customFormat="1" ht="18" customHeight="1" x14ac:dyDescent="0.25">
      <c r="B69" s="17"/>
      <c r="C69" s="101" t="s">
        <v>14</v>
      </c>
      <c r="D69" s="101"/>
      <c r="E69" s="101"/>
      <c r="F69" s="101"/>
      <c r="G69" s="95"/>
      <c r="H69" s="96"/>
      <c r="I69" s="17"/>
      <c r="J69" s="15"/>
      <c r="K69" s="15"/>
      <c r="L69" s="17"/>
      <c r="M69" s="161"/>
      <c r="N69" s="162"/>
      <c r="O69" s="25"/>
      <c r="P69" s="26" t="str">
        <f>IF(M69="","",VLOOKUP(M69,ÍNDICES!A$3:K$926,$E$10))</f>
        <v/>
      </c>
      <c r="Q69" s="27"/>
      <c r="R69" s="28" t="str">
        <f>IF(OR($G$8="",M69="",Q69=""),"",Q69/P69*G$10)</f>
        <v/>
      </c>
      <c r="S69" s="17"/>
    </row>
    <row r="70" spans="2:19" s="14" customFormat="1" ht="4.1500000000000004" customHeight="1" x14ac:dyDescent="0.25">
      <c r="B70" s="17"/>
      <c r="C70" s="18"/>
      <c r="D70" s="18"/>
      <c r="E70" s="18"/>
      <c r="F70" s="18"/>
      <c r="G70" s="18"/>
      <c r="H70" s="18"/>
      <c r="I70" s="17"/>
      <c r="J70" s="15"/>
      <c r="K70" s="15"/>
      <c r="L70" s="17"/>
      <c r="M70" s="18"/>
      <c r="N70" s="18"/>
      <c r="O70" s="20"/>
      <c r="P70" s="20"/>
      <c r="Q70" s="29"/>
      <c r="R70" s="30"/>
      <c r="S70" s="17"/>
    </row>
    <row r="71" spans="2:19" s="14" customFormat="1" ht="18" customHeight="1" x14ac:dyDescent="0.25">
      <c r="B71" s="17"/>
      <c r="C71" s="101" t="s">
        <v>15</v>
      </c>
      <c r="D71" s="101"/>
      <c r="E71" s="101"/>
      <c r="F71" s="101"/>
      <c r="G71" s="93">
        <f>IF(OR(G69=0,G69="",M18="",G63=0,G63="",G65="Não",G65=""),0,G63*IF(G67="1% a.m.",1%*MAX(0,TRUNC(DAYS360(DATE(YEAR(G69),MONTH(G69),1),DATE(YEAR(G8),MONTH(G8),1))/30,0)),SUM(IF(OR(G69=0,G69="",M18=""),"",MAX(0,0.5%*TRUNC(DAYS360(DATE(YEAR(G69),MONTH(G69),1),DATE(2003,10,1))/30,0))+1%*MAX(TRUNC(DAYS360(MAX(DATE(2003,10,1),DATE(YEAR(G69),MONTH(G69),1)),IF(Menus_Online!B6=2,MIN(DATE(YEAR(Q24),MONTH(Q24),1),DATE(2024,8,28)),DATE(YEAR(Q24),MONTH(Q24),1)))/30,0),0)),IF(M20="","",MAX(VLOOKUP(G8,ÍNDICES!A$3:K$926,IF(Menus_Online!D6=TRUE,6,7))-VLOOKUP(MAX(IF(M18="",0,DATE(2024,8,28)),G69),ÍNDICES!A$3:K$926,IF(Menus_Online!D6=TRUE,6,7)),0)))))</f>
        <v>0</v>
      </c>
      <c r="H71" s="94"/>
      <c r="I71" s="17"/>
      <c r="J71" s="15"/>
      <c r="K71" s="15"/>
      <c r="L71" s="17"/>
      <c r="M71" s="161"/>
      <c r="N71" s="162"/>
      <c r="O71" s="25"/>
      <c r="P71" s="26" t="str">
        <f>IF(M71="","",VLOOKUP(M71,ÍNDICES!A$3:K$926,$E$10))</f>
        <v/>
      </c>
      <c r="Q71" s="27"/>
      <c r="R71" s="28" t="str">
        <f>IF(OR($G$8="",M71="",Q71=""),"",Q71/P71*G$10)</f>
        <v/>
      </c>
      <c r="S71" s="17"/>
    </row>
    <row r="72" spans="2:19" s="14" customFormat="1" ht="4.1500000000000004" customHeight="1" x14ac:dyDescent="0.25">
      <c r="B72" s="17"/>
      <c r="C72" s="18"/>
      <c r="D72" s="18"/>
      <c r="E72" s="18"/>
      <c r="F72" s="18"/>
      <c r="G72" s="18"/>
      <c r="H72" s="18"/>
      <c r="I72" s="17"/>
      <c r="J72" s="15"/>
      <c r="K72" s="15"/>
      <c r="L72" s="17"/>
      <c r="M72" s="18"/>
      <c r="N72" s="18"/>
      <c r="O72" s="20"/>
      <c r="P72" s="20"/>
      <c r="Q72" s="29"/>
      <c r="R72" s="30"/>
      <c r="S72" s="17"/>
    </row>
    <row r="73" spans="2:19" s="14" customFormat="1" ht="18" customHeight="1" x14ac:dyDescent="0.25">
      <c r="B73" s="17"/>
      <c r="C73" s="101" t="str">
        <f>IF(D55="Valor da Causa", "% Aplicada","")</f>
        <v/>
      </c>
      <c r="D73" s="101"/>
      <c r="E73" s="101"/>
      <c r="F73" s="101"/>
      <c r="G73" s="92"/>
      <c r="H73" s="92"/>
      <c r="I73" s="17"/>
      <c r="J73" s="15"/>
      <c r="K73" s="15"/>
      <c r="L73" s="17"/>
      <c r="M73" s="161"/>
      <c r="N73" s="162"/>
      <c r="O73" s="25"/>
      <c r="P73" s="26" t="str">
        <f>IF(M73="","",VLOOKUP(M73,ÍNDICES!A$3:K$926,$E$10))</f>
        <v/>
      </c>
      <c r="Q73" s="27"/>
      <c r="R73" s="28" t="str">
        <f>IF(OR($G$8="",M73="",Q73=""),"",Q73/P73*G$10)</f>
        <v/>
      </c>
      <c r="S73" s="17"/>
    </row>
    <row r="74" spans="2:19" s="14" customFormat="1" ht="4.1500000000000004" customHeight="1" x14ac:dyDescent="0.25">
      <c r="B74" s="17"/>
      <c r="C74" s="18"/>
      <c r="D74" s="18"/>
      <c r="E74" s="18"/>
      <c r="F74" s="18"/>
      <c r="G74" s="18"/>
      <c r="H74" s="18"/>
      <c r="I74" s="17"/>
      <c r="J74" s="15"/>
      <c r="K74" s="15"/>
      <c r="L74" s="17"/>
      <c r="M74" s="17"/>
      <c r="N74" s="17"/>
      <c r="O74" s="17"/>
      <c r="P74" s="17"/>
      <c r="Q74" s="17"/>
      <c r="R74" s="17"/>
      <c r="S74" s="17"/>
    </row>
    <row r="75" spans="2:19" s="14" customFormat="1" ht="18" hidden="1" customHeight="1" x14ac:dyDescent="0.25">
      <c r="B75" s="17"/>
      <c r="C75" s="97"/>
      <c r="D75" s="98"/>
      <c r="E75" s="98"/>
      <c r="F75" s="99"/>
      <c r="G75" s="93"/>
      <c r="H75" s="94"/>
      <c r="I75" s="17"/>
      <c r="J75" s="15"/>
      <c r="K75" s="15"/>
      <c r="L75" s="17"/>
      <c r="M75" s="37"/>
      <c r="N75" s="17"/>
      <c r="O75" s="17"/>
      <c r="P75" s="17"/>
      <c r="Q75" s="33" t="str">
        <f>IF(R75&lt;&gt;"","Total","")</f>
        <v/>
      </c>
      <c r="R75" s="38" t="str">
        <f>IF(SUM(R43:R73)&gt;0,SUM(R43:R73),"")</f>
        <v/>
      </c>
      <c r="S75" s="17"/>
    </row>
    <row r="76" spans="2:19" s="14" customFormat="1" ht="18" customHeight="1" x14ac:dyDescent="0.25">
      <c r="B76" s="17"/>
      <c r="C76" s="97" t="s">
        <v>74</v>
      </c>
      <c r="D76" s="98"/>
      <c r="E76" s="98"/>
      <c r="F76" s="99"/>
      <c r="G76" s="93" t="str">
        <f>IF($G$8="","",IF(RIGHT(D41,10)="CONDENAÇÃO",G47,SUM(G63,G71)*IF(RIGHT(D55,5)="CAUSA",G73,1)))</f>
        <v/>
      </c>
      <c r="H76" s="94"/>
      <c r="I76" s="17"/>
      <c r="J76" s="15"/>
      <c r="K76" s="15"/>
      <c r="L76" s="17"/>
      <c r="M76" s="97" t="s">
        <v>55</v>
      </c>
      <c r="N76" s="98"/>
      <c r="O76" s="98"/>
      <c r="P76" s="98"/>
      <c r="Q76" s="165" t="str">
        <f>IF($G$8="","",SUM(R43:R73))</f>
        <v/>
      </c>
      <c r="R76" s="166"/>
      <c r="S76" s="17"/>
    </row>
    <row r="77" spans="2:19" s="14" customFormat="1" ht="4.1500000000000004" customHeight="1" x14ac:dyDescent="0.25">
      <c r="B77" s="17"/>
      <c r="C77" s="17"/>
      <c r="D77" s="17"/>
      <c r="E77" s="17"/>
      <c r="F77" s="17"/>
      <c r="G77" s="17"/>
      <c r="H77" s="17"/>
      <c r="I77" s="17"/>
      <c r="J77" s="15"/>
      <c r="K77" s="15"/>
      <c r="L77" s="17"/>
      <c r="M77" s="17"/>
      <c r="N77" s="17"/>
      <c r="O77" s="17"/>
      <c r="P77" s="17"/>
      <c r="Q77" s="17"/>
      <c r="R77" s="17"/>
      <c r="S77" s="17"/>
    </row>
    <row r="78" spans="2:19" s="14" customFormat="1" ht="4.1500000000000004" customHeight="1" x14ac:dyDescent="0.25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</row>
    <row r="79" spans="2:19" s="14" customFormat="1" ht="4.1500000000000004" customHeight="1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</row>
    <row r="80" spans="2:19" s="14" customFormat="1" ht="18" customHeight="1" x14ac:dyDescent="0.25">
      <c r="B80" s="17"/>
      <c r="C80" s="17"/>
      <c r="D80" s="17"/>
      <c r="E80" s="97" t="s">
        <v>16</v>
      </c>
      <c r="F80" s="98"/>
      <c r="G80" s="98"/>
      <c r="H80" s="98"/>
      <c r="I80" s="99"/>
      <c r="J80" s="100">
        <f>SUM(IF(Menus!E10&gt;0,K32,0),IF(Menus!D3=TRUE,G76,0),IF(Menus!D4=TRUE,Q76,0))</f>
        <v>0</v>
      </c>
      <c r="K80" s="100"/>
      <c r="L80" s="100"/>
      <c r="M80" s="100"/>
      <c r="N80" s="100"/>
      <c r="O80" s="100"/>
      <c r="P80" s="50" t="s">
        <v>99</v>
      </c>
      <c r="Q80" s="53" t="e">
        <f>VLOOKUP(G8,TabelaCalculo[[DATA]:[UFESP]],4)</f>
        <v>#N/A</v>
      </c>
      <c r="R80" s="18"/>
      <c r="S80" s="17"/>
    </row>
    <row r="81" spans="1:20" ht="4.1500000000000004" customHeight="1" x14ac:dyDescent="0.25">
      <c r="B81" s="17"/>
      <c r="C81" s="17"/>
      <c r="D81" s="17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7"/>
    </row>
    <row r="82" spans="1:20" ht="18" customHeight="1" x14ac:dyDescent="0.25">
      <c r="B82" s="17"/>
      <c r="C82" s="17"/>
      <c r="D82" s="51" t="s">
        <v>96</v>
      </c>
      <c r="E82" s="149" t="s">
        <v>61</v>
      </c>
      <c r="F82" s="150"/>
      <c r="G82" s="150"/>
      <c r="H82" s="150"/>
      <c r="I82" s="151"/>
      <c r="J82" s="163" t="e">
        <f>IF(E82="","",MIN(MAX(IF(E82=Menus!G9,1.5%*J80,IF(E82=Menus!G12,1%*J80,2%*J80)),5*Q80),3000*Q80))</f>
        <v>#N/A</v>
      </c>
      <c r="K82" s="163"/>
      <c r="L82" s="163"/>
      <c r="M82" s="163"/>
      <c r="N82" s="163"/>
      <c r="O82" s="163"/>
      <c r="P82" s="54" t="e">
        <f>IF(OR(J92="",E82=""),"","Processo SAJ - pgto. via DARE - Portal de Custas")</f>
        <v>#N/A</v>
      </c>
      <c r="Q82" s="52"/>
      <c r="R82" s="18"/>
      <c r="S82" s="17"/>
    </row>
    <row r="83" spans="1:20" ht="4.1500000000000004" customHeight="1" x14ac:dyDescent="0.25">
      <c r="B83" s="17"/>
      <c r="C83" s="17"/>
      <c r="D83" s="17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7"/>
    </row>
    <row r="84" spans="1:20" s="23" customFormat="1" ht="18" customHeight="1" x14ac:dyDescent="0.25">
      <c r="A84" s="22"/>
      <c r="B84" s="18"/>
      <c r="C84" s="18"/>
      <c r="D84" s="18"/>
      <c r="E84" s="153" t="s">
        <v>17</v>
      </c>
      <c r="F84" s="153"/>
      <c r="G84" s="153"/>
      <c r="H84" s="153"/>
      <c r="I84" s="153"/>
      <c r="J84" s="154" t="s">
        <v>18</v>
      </c>
      <c r="K84" s="155"/>
      <c r="L84" s="155"/>
      <c r="M84" s="155"/>
      <c r="N84" s="155"/>
      <c r="O84" s="156"/>
      <c r="P84" s="39" t="str">
        <f>IF(J84="","INDIQUE SE HÁ INCIDÊNCIA DE MULTA","")</f>
        <v/>
      </c>
      <c r="Q84" s="171" t="s">
        <v>100</v>
      </c>
      <c r="R84" s="171"/>
      <c r="S84" s="18"/>
      <c r="T84" s="22"/>
    </row>
    <row r="85" spans="1:20" ht="4.1500000000000004" customHeight="1" x14ac:dyDescent="0.25">
      <c r="B85" s="17"/>
      <c r="C85" s="17"/>
      <c r="D85" s="17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71"/>
      <c r="R85" s="171"/>
      <c r="S85" s="17"/>
    </row>
    <row r="86" spans="1:20" ht="18" customHeight="1" x14ac:dyDescent="0.25">
      <c r="B86" s="17"/>
      <c r="C86" s="17"/>
      <c r="D86" s="17"/>
      <c r="E86" s="153" t="s">
        <v>19</v>
      </c>
      <c r="F86" s="153"/>
      <c r="G86" s="153"/>
      <c r="H86" s="153"/>
      <c r="I86" s="153"/>
      <c r="J86" s="100" t="str">
        <f>IF(J84="Não","",10%*J$80)</f>
        <v/>
      </c>
      <c r="K86" s="100"/>
      <c r="L86" s="100"/>
      <c r="M86" s="100"/>
      <c r="N86" s="100"/>
      <c r="O86" s="100"/>
      <c r="P86" s="40"/>
      <c r="Q86" s="171"/>
      <c r="R86" s="171"/>
      <c r="S86" s="17"/>
    </row>
    <row r="87" spans="1:20" ht="4.1500000000000004" customHeight="1" x14ac:dyDescent="0.25"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58" t="str">
        <f>IF(D55="valor da causa","Obs.: valor da causa pode ser o da fase de conhecimento, de cumprimento de sentença ou o da execução extrajudicial.","")</f>
        <v/>
      </c>
      <c r="R87" s="158"/>
      <c r="S87" s="17"/>
    </row>
    <row r="88" spans="1:20" s="23" customFormat="1" ht="18" customHeight="1" x14ac:dyDescent="0.25">
      <c r="A88" s="22"/>
      <c r="B88" s="18"/>
      <c r="C88" s="18"/>
      <c r="D88" s="18"/>
      <c r="E88" s="153" t="s">
        <v>20</v>
      </c>
      <c r="F88" s="153"/>
      <c r="G88" s="153"/>
      <c r="H88" s="153"/>
      <c r="I88" s="153"/>
      <c r="J88" s="154" t="str">
        <f>J84</f>
        <v>Não</v>
      </c>
      <c r="K88" s="155"/>
      <c r="L88" s="155"/>
      <c r="M88" s="155"/>
      <c r="N88" s="155"/>
      <c r="O88" s="156"/>
      <c r="P88" s="39" t="str">
        <f>IF(J88="","INDIQUE SE HÁ INCIDÊNCIA DE MULTA","")</f>
        <v/>
      </c>
      <c r="Q88" s="158"/>
      <c r="R88" s="158"/>
      <c r="S88" s="18"/>
      <c r="T88" s="22"/>
    </row>
    <row r="89" spans="1:20" ht="4.1500000000000004" customHeight="1" x14ac:dyDescent="0.25">
      <c r="B89" s="17"/>
      <c r="C89" s="17"/>
      <c r="D89" s="17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58"/>
      <c r="R89" s="158"/>
      <c r="S89" s="17"/>
    </row>
    <row r="90" spans="1:20" ht="18" customHeight="1" x14ac:dyDescent="0.25">
      <c r="B90" s="17"/>
      <c r="C90" s="17"/>
      <c r="D90" s="17"/>
      <c r="E90" s="153" t="s">
        <v>21</v>
      </c>
      <c r="F90" s="153"/>
      <c r="G90" s="153"/>
      <c r="H90" s="153"/>
      <c r="I90" s="153"/>
      <c r="J90" s="100" t="str">
        <f>IF(J88="Não","",10%*J$80)</f>
        <v/>
      </c>
      <c r="K90" s="100"/>
      <c r="L90" s="100"/>
      <c r="M90" s="100"/>
      <c r="N90" s="100"/>
      <c r="O90" s="100"/>
      <c r="P90" s="40"/>
      <c r="Q90" s="158"/>
      <c r="R90" s="158"/>
      <c r="S90" s="17"/>
    </row>
    <row r="91" spans="1:20" ht="4.1500000000000004" customHeight="1" x14ac:dyDescent="0.25">
      <c r="B91" s="17"/>
      <c r="C91" s="17"/>
      <c r="D91" s="17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58"/>
      <c r="R91" s="158"/>
      <c r="S91" s="17"/>
    </row>
    <row r="92" spans="1:20" ht="18" customHeight="1" x14ac:dyDescent="0.25">
      <c r="B92" s="17"/>
      <c r="C92" s="17"/>
      <c r="D92" s="17"/>
      <c r="E92" s="81" t="e">
        <f>IF(J82="","Saldo Final", "Saldo - Opção:")</f>
        <v>#N/A</v>
      </c>
      <c r="F92" s="82"/>
      <c r="G92" s="157" t="s">
        <v>97</v>
      </c>
      <c r="H92" s="157"/>
      <c r="I92" s="83"/>
      <c r="J92" s="100" t="e">
        <f>IF(AND(LEFT(G92,6)="inclui",J82=""),"SELECIONAR TAXA EM E82",SUM(J80,J86,J90,IF(LEFT(G92,6)="inclui",J82,0)))</f>
        <v>#N/A</v>
      </c>
      <c r="K92" s="100"/>
      <c r="L92" s="100"/>
      <c r="M92" s="100"/>
      <c r="N92" s="100"/>
      <c r="O92" s="100"/>
      <c r="P92" s="49"/>
      <c r="Q92" s="158"/>
      <c r="R92" s="158"/>
      <c r="S92" s="17"/>
    </row>
    <row r="93" spans="1:20" ht="4.1500000000000004" customHeight="1" x14ac:dyDescent="0.25">
      <c r="B93" s="17"/>
      <c r="C93" s="17"/>
      <c r="D93" s="17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7"/>
    </row>
    <row r="94" spans="1:20" hidden="1" x14ac:dyDescent="0.25">
      <c r="A94" s="15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T94" s="15"/>
    </row>
    <row r="96" spans="1:20" x14ac:dyDescent="0.25">
      <c r="A96" s="15"/>
      <c r="C96" s="41" t="s">
        <v>22</v>
      </c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42"/>
      <c r="Q96" s="23"/>
      <c r="R96" s="23"/>
      <c r="T96" s="15"/>
    </row>
    <row r="97" spans="13:14" x14ac:dyDescent="0.25"/>
    <row r="99" spans="13:14" hidden="1" x14ac:dyDescent="0.25">
      <c r="M99" s="152"/>
      <c r="N99" s="152"/>
    </row>
    <row r="100" spans="13:14" hidden="1" x14ac:dyDescent="0.25">
      <c r="M100" s="159"/>
      <c r="N100" s="160"/>
    </row>
    <row r="101" spans="13:14" ht="15" customHeight="1" x14ac:dyDescent="0.25"/>
  </sheetData>
  <sheetProtection algorithmName="SHA-512" hashValue="ZxCQjnAh1c0hq2bkzkP/5neHgLeWcZzLm1t+1TgTnyPbYBPNZEVH89edbJ7vtKSayvcurfL3gfpbWIUBmQeWhQ==" saltValue="KTOpKS5bi1NlQ76McGrVEA==" spinCount="100000" sheet="1" objects="1" scenarios="1" formatRows="0"/>
  <mergeCells count="115">
    <mergeCell ref="C1:R1"/>
    <mergeCell ref="C2:R2"/>
    <mergeCell ref="C8:F8"/>
    <mergeCell ref="G8:H8"/>
    <mergeCell ref="M8:P8"/>
    <mergeCell ref="Q8:R8"/>
    <mergeCell ref="C20:F20"/>
    <mergeCell ref="G20:H20"/>
    <mergeCell ref="M20:P20"/>
    <mergeCell ref="Q20:R20"/>
    <mergeCell ref="C16:F16"/>
    <mergeCell ref="G16:H16"/>
    <mergeCell ref="M16:P16"/>
    <mergeCell ref="Q16:R16"/>
    <mergeCell ref="G10:H10"/>
    <mergeCell ref="O10:R10"/>
    <mergeCell ref="C14:H14"/>
    <mergeCell ref="M14:R14"/>
    <mergeCell ref="C15:H15"/>
    <mergeCell ref="M15:R15"/>
    <mergeCell ref="C22:F22"/>
    <mergeCell ref="G22:H22"/>
    <mergeCell ref="M22:P22"/>
    <mergeCell ref="Q22:R22"/>
    <mergeCell ref="C18:F18"/>
    <mergeCell ref="G18:H18"/>
    <mergeCell ref="M18:P18"/>
    <mergeCell ref="Q18:R18"/>
    <mergeCell ref="C30:E30"/>
    <mergeCell ref="F32:J32"/>
    <mergeCell ref="K32:O32"/>
    <mergeCell ref="C38:H38"/>
    <mergeCell ref="M38:R38"/>
    <mergeCell ref="C39:H39"/>
    <mergeCell ref="C24:F24"/>
    <mergeCell ref="G24:H24"/>
    <mergeCell ref="M24:P24"/>
    <mergeCell ref="Q24:R24"/>
    <mergeCell ref="C26:F26"/>
    <mergeCell ref="G26:H26"/>
    <mergeCell ref="M26:P26"/>
    <mergeCell ref="Q26:R26"/>
    <mergeCell ref="C47:F47"/>
    <mergeCell ref="G47:H47"/>
    <mergeCell ref="M47:N47"/>
    <mergeCell ref="C49:F49"/>
    <mergeCell ref="G49:H49"/>
    <mergeCell ref="M49:N49"/>
    <mergeCell ref="D41:G41"/>
    <mergeCell ref="M41:N41"/>
    <mergeCell ref="C43:F43"/>
    <mergeCell ref="G43:H43"/>
    <mergeCell ref="M43:N43"/>
    <mergeCell ref="C45:F45"/>
    <mergeCell ref="G45:H45"/>
    <mergeCell ref="M45:N45"/>
    <mergeCell ref="G57:H57"/>
    <mergeCell ref="M57:N57"/>
    <mergeCell ref="C59:F59"/>
    <mergeCell ref="G59:H59"/>
    <mergeCell ref="M59:N59"/>
    <mergeCell ref="C51:F51"/>
    <mergeCell ref="G51:H51"/>
    <mergeCell ref="M51:N51"/>
    <mergeCell ref="C53:H53"/>
    <mergeCell ref="M53:N53"/>
    <mergeCell ref="D55:G55"/>
    <mergeCell ref="M55:N55"/>
    <mergeCell ref="Q87:R92"/>
    <mergeCell ref="G92:H92"/>
    <mergeCell ref="G67:H67"/>
    <mergeCell ref="M67:N67"/>
    <mergeCell ref="C61:F61"/>
    <mergeCell ref="G61:H61"/>
    <mergeCell ref="M61:N61"/>
    <mergeCell ref="C63:F63"/>
    <mergeCell ref="G63:H63"/>
    <mergeCell ref="M63:N63"/>
    <mergeCell ref="Q76:R76"/>
    <mergeCell ref="E80:I80"/>
    <mergeCell ref="J80:O80"/>
    <mergeCell ref="E82:I82"/>
    <mergeCell ref="J82:O82"/>
    <mergeCell ref="E84:I84"/>
    <mergeCell ref="J84:O84"/>
    <mergeCell ref="E86:I86"/>
    <mergeCell ref="J86:O86"/>
    <mergeCell ref="C76:F76"/>
    <mergeCell ref="G76:H76"/>
    <mergeCell ref="M76:P76"/>
    <mergeCell ref="Q84:R86"/>
    <mergeCell ref="M99:N99"/>
    <mergeCell ref="M100:N100"/>
    <mergeCell ref="G3:P3"/>
    <mergeCell ref="E88:I88"/>
    <mergeCell ref="J88:O88"/>
    <mergeCell ref="E90:I90"/>
    <mergeCell ref="J90:O90"/>
    <mergeCell ref="J92:O92"/>
    <mergeCell ref="C73:F73"/>
    <mergeCell ref="G73:H73"/>
    <mergeCell ref="M73:N73"/>
    <mergeCell ref="C75:F75"/>
    <mergeCell ref="G75:H75"/>
    <mergeCell ref="C69:F69"/>
    <mergeCell ref="G69:H69"/>
    <mergeCell ref="M69:N69"/>
    <mergeCell ref="C71:F71"/>
    <mergeCell ref="G71:H71"/>
    <mergeCell ref="M71:N71"/>
    <mergeCell ref="C65:F65"/>
    <mergeCell ref="G65:H65"/>
    <mergeCell ref="M65:N65"/>
    <mergeCell ref="C67:F67"/>
    <mergeCell ref="C57:F57"/>
  </mergeCells>
  <conditionalFormatting sqref="M8:P8">
    <cfRule type="expression" dxfId="50" priority="5">
      <formula>$M$8="INSIRA A DATA DA ATUALIZAÇÃO!"</formula>
    </cfRule>
  </conditionalFormatting>
  <conditionalFormatting sqref="B79:S83 B93:S93 B84:Q84 B85:P91 S84:S92 B92:G92 I92:P92">
    <cfRule type="expression" dxfId="49" priority="4">
      <formula>AND($K$32="",SUM($G$47:$G$76)=0)</formula>
    </cfRule>
  </conditionalFormatting>
  <conditionalFormatting sqref="G22:G24">
    <cfRule type="expression" dxfId="48" priority="3">
      <formula>C$22=""</formula>
    </cfRule>
  </conditionalFormatting>
  <dataValidations count="2">
    <dataValidation type="list" allowBlank="1" showInputMessage="1" showErrorMessage="1" sqref="J84:O84 J88:O88" xr:uid="{A4E4F8EE-92AA-435C-885E-760BD4EF7C0F}">
      <formula1>"Não, Sim"</formula1>
    </dataValidation>
    <dataValidation type="date" operator="greaterThanOrEqual" allowBlank="1" showInputMessage="1" showErrorMessage="1" errorTitle="ERRO!" error="É aceita apenas a entrada de data a partir de outubro de 1964!" sqref="G8:H8" xr:uid="{6B5FA902-21B9-4605-9DEF-58C8DBCF6B00}">
      <formula1>23651</formula1>
    </dataValidation>
  </dataValidations>
  <hyperlinks>
    <hyperlink ref="P82" r:id="rId1" display="https://portaldecustas.tjsp.jus.br/portaltjsp/pages/custas/new" xr:uid="{99A72B2C-6257-4067-922D-3AB497FC1490}"/>
  </hyperlinks>
  <printOptions horizontalCentered="1"/>
  <pageMargins left="0.39370078740157483" right="0.39370078740157483" top="0.59055118110236227" bottom="0.59055118110236227" header="0.31496062992125984" footer="0.31496062992125984"/>
  <pageSetup paperSize="9" scale="69" fitToHeight="0" orientation="portrait" r:id="rId2"/>
  <ignoredErrors>
    <ignoredError sqref="G10 E92 J82:R86 Q80 J89:R92 K88:R88 J87:P87 R87 G24 Q20" evalError="1"/>
    <ignoredError sqref="Q87" unlockedFormula="1"/>
    <ignoredError sqref="J88" evalError="1" unlockedFormula="1"/>
  </ignoredError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160755A0-0912-4C55-916C-FD72B0EB3421}">
            <xm:f>OR(AND(Menus!$D$4=TRUE,$G$8=""),AND(Menus!$D$4=FALSE,OR($G$8="",$G$8&lt;&gt;"")))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L54:S75 L53:M53 O53:S53 L37:S52 L77:S77 S76 L76:M76 Q76</xm:sqref>
        </x14:conditionalFormatting>
        <x14:conditionalFormatting xmlns:xm="http://schemas.microsoft.com/office/excel/2006/main">
          <x14:cfRule type="expression" priority="7" id="{1B241CF9-A5A5-4152-B7DF-096CBD5FD4AC}">
            <xm:f>AND(Menus!$D$4=TRUE,$G$8&lt;&gt;"",$M$43&lt;&gt;"")</xm:f>
            <x14:dxf>
              <fill>
                <patternFill>
                  <bgColor rgb="FFBED3F8"/>
                </patternFill>
              </fill>
            </x14:dxf>
          </x14:cfRule>
          <x14:cfRule type="expression" priority="8" id="{AE8425E5-3D2E-4E7E-8024-9A70CDC692FA}">
            <xm:f>AND(Menus!$D$4=TRUE,$G$8&lt;&gt;"",$M$43&lt;&gt;"")</xm:f>
            <x14:dxf>
              <fill>
                <patternFill>
                  <bgColor rgb="FFCBDBF9"/>
                </patternFill>
              </fill>
            </x14:dxf>
          </x14:cfRule>
          <xm:sqref>M43:O43 Q43</xm:sqref>
        </x14:conditionalFormatting>
        <x14:conditionalFormatting xmlns:xm="http://schemas.microsoft.com/office/excel/2006/main">
          <x14:cfRule type="expression" priority="9" id="{E43DA922-4470-40CD-98F0-AEC14244AE07}">
            <xm:f>AND(Menus!$D$4=TRUE,$G$8&lt;&gt;"",$M$45&lt;&gt;"")</xm:f>
            <x14:dxf>
              <fill>
                <patternFill>
                  <bgColor rgb="FFBED3F8"/>
                </patternFill>
              </fill>
            </x14:dxf>
          </x14:cfRule>
          <xm:sqref>M45:O45 Q45 M43:O43 Q43</xm:sqref>
        </x14:conditionalFormatting>
        <x14:conditionalFormatting xmlns:xm="http://schemas.microsoft.com/office/excel/2006/main">
          <x14:cfRule type="expression" priority="10" id="{1AA830D5-294F-4A8D-8529-A8A477CD0297}">
            <xm:f>AND(Menus!$D$4=TRUE,$G$8&lt;&gt;"",$M$49&lt;&gt;"")</xm:f>
            <x14:dxf>
              <fill>
                <patternFill>
                  <bgColor rgb="FFBED3F8"/>
                </patternFill>
              </fill>
            </x14:dxf>
          </x14:cfRule>
          <xm:sqref>M47:O47 Q47 M49:O49 Q49 M51:O51 Q51</xm:sqref>
        </x14:conditionalFormatting>
        <x14:conditionalFormatting xmlns:xm="http://schemas.microsoft.com/office/excel/2006/main">
          <x14:cfRule type="expression" priority="11" id="{74983816-BF53-4630-91C5-2A472B707697}">
            <xm:f>AND(Menus!$D$4=TRUE,$G$8&lt;&gt;"",$M$53&lt;&gt;"")</xm:f>
            <x14:dxf>
              <fill>
                <patternFill>
                  <bgColor rgb="FFBED3F8"/>
                </patternFill>
              </fill>
            </x14:dxf>
          </x14:cfRule>
          <xm:sqref>M53 Q53 O53</xm:sqref>
        </x14:conditionalFormatting>
        <x14:conditionalFormatting xmlns:xm="http://schemas.microsoft.com/office/excel/2006/main">
          <x14:cfRule type="expression" priority="12" id="{2F853D0A-ABA9-4D6D-B42D-FDC2A2F88A17}">
            <xm:f>AND(Menus!$D$4=TRUE,$G$8&lt;&gt;"",$M$55&lt;&gt;"")</xm:f>
            <x14:dxf>
              <fill>
                <patternFill>
                  <bgColor rgb="FFBED3F8"/>
                </patternFill>
              </fill>
            </x14:dxf>
          </x14:cfRule>
          <xm:sqref>M55:O55 Q55</xm:sqref>
        </x14:conditionalFormatting>
        <x14:conditionalFormatting xmlns:xm="http://schemas.microsoft.com/office/excel/2006/main">
          <x14:cfRule type="expression" priority="13" id="{07FA87E3-44A8-44ED-AE33-80D80FB38CFD}">
            <xm:f>AND(Menus!$D$4=TRUE,$G$8&lt;&gt;"",$M$57&lt;&gt;"")</xm:f>
            <x14:dxf>
              <fill>
                <patternFill>
                  <bgColor rgb="FFBED3F8"/>
                </patternFill>
              </fill>
            </x14:dxf>
          </x14:cfRule>
          <xm:sqref>M57:O57 Q57</xm:sqref>
        </x14:conditionalFormatting>
        <x14:conditionalFormatting xmlns:xm="http://schemas.microsoft.com/office/excel/2006/main">
          <x14:cfRule type="expression" priority="14" id="{F8EB5063-58DE-4593-A8D5-466FC44A3E9F}">
            <xm:f>AND(Menus!$D$4=TRUE,$G$8&lt;&gt;"",$M$59&lt;&gt;"")</xm:f>
            <x14:dxf>
              <fill>
                <patternFill>
                  <bgColor rgb="FFBED3F8"/>
                </patternFill>
              </fill>
            </x14:dxf>
          </x14:cfRule>
          <xm:sqref>M59:O59 Q59</xm:sqref>
        </x14:conditionalFormatting>
        <x14:conditionalFormatting xmlns:xm="http://schemas.microsoft.com/office/excel/2006/main">
          <x14:cfRule type="expression" priority="15" id="{AA3E79B1-1670-4FAB-92FA-A9C590DEDA24}">
            <xm:f>AND(Menus!$D$4=TRUE,$G$8&lt;&gt;"",$M$61&lt;&gt;"")</xm:f>
            <x14:dxf>
              <fill>
                <patternFill>
                  <bgColor rgb="FFBED3F8"/>
                </patternFill>
              </fill>
            </x14:dxf>
          </x14:cfRule>
          <xm:sqref>M61:O61 Q61</xm:sqref>
        </x14:conditionalFormatting>
        <x14:conditionalFormatting xmlns:xm="http://schemas.microsoft.com/office/excel/2006/main">
          <x14:cfRule type="expression" priority="16" id="{25FE9731-CDC6-497F-BBE9-EE6DFB04263E}">
            <xm:f>AND(Menus!$D$4=TRUE,$G$8&lt;&gt;"",$M$63&lt;&gt;"")</xm:f>
            <x14:dxf>
              <fill>
                <patternFill>
                  <bgColor rgb="FFBED3F8"/>
                </patternFill>
              </fill>
            </x14:dxf>
          </x14:cfRule>
          <xm:sqref>M63:O63 Q63</xm:sqref>
        </x14:conditionalFormatting>
        <x14:conditionalFormatting xmlns:xm="http://schemas.microsoft.com/office/excel/2006/main">
          <x14:cfRule type="expression" priority="17" id="{018A5918-5C95-43D3-82BA-F2ACE98354B2}">
            <xm:f>AND(Menus!$D$4=TRUE,$G$8&lt;&gt;"",$M$65&lt;&gt;"")</xm:f>
            <x14:dxf>
              <fill>
                <patternFill>
                  <bgColor rgb="FFBED3F8"/>
                </patternFill>
              </fill>
            </x14:dxf>
          </x14:cfRule>
          <xm:sqref>M65:O65 Q65</xm:sqref>
        </x14:conditionalFormatting>
        <x14:conditionalFormatting xmlns:xm="http://schemas.microsoft.com/office/excel/2006/main">
          <x14:cfRule type="expression" priority="18" id="{9AFE70C0-0C59-4D48-8204-CEF7E2021B0A}">
            <xm:f>AND(Menus!$D$4=TRUE,$G$8&lt;&gt;"",$M$67&lt;&gt;"")</xm:f>
            <x14:dxf>
              <fill>
                <patternFill>
                  <bgColor rgb="FFBED3F8"/>
                </patternFill>
              </fill>
            </x14:dxf>
          </x14:cfRule>
          <xm:sqref>M67:O67 Q67</xm:sqref>
        </x14:conditionalFormatting>
        <x14:conditionalFormatting xmlns:xm="http://schemas.microsoft.com/office/excel/2006/main">
          <x14:cfRule type="expression" priority="19" id="{0878FB9C-DF52-421F-97FD-DD6AB36D1C9C}">
            <xm:f>AND(Menus!$D$4=TRUE,$G$8&lt;&gt;"",$M$69&lt;&gt;"")</xm:f>
            <x14:dxf>
              <fill>
                <patternFill>
                  <bgColor rgb="FFBED3F8"/>
                </patternFill>
              </fill>
            </x14:dxf>
          </x14:cfRule>
          <xm:sqref>M69:O69 Q69</xm:sqref>
        </x14:conditionalFormatting>
        <x14:conditionalFormatting xmlns:xm="http://schemas.microsoft.com/office/excel/2006/main">
          <x14:cfRule type="expression" priority="20" id="{3025CCE8-6F62-4480-ADAE-03A07BEDD3E4}">
            <xm:f>AND(Menus!$D$4=TRUE,$G$8&lt;&gt;"",$M$71&lt;&gt;"")</xm:f>
            <x14:dxf>
              <fill>
                <patternFill>
                  <bgColor rgb="FFBED3F8"/>
                </patternFill>
              </fill>
            </x14:dxf>
          </x14:cfRule>
          <xm:sqref>M71:O71 Q71</xm:sqref>
        </x14:conditionalFormatting>
        <x14:conditionalFormatting xmlns:xm="http://schemas.microsoft.com/office/excel/2006/main">
          <x14:cfRule type="expression" priority="21" id="{54FA5CC0-2409-4D02-BCEA-A46099A05A43}">
            <xm:f>AND(Menus!$D$4=TRUE,$G$8&lt;&gt;"",$M$73&lt;&gt;"")</xm:f>
            <x14:dxf>
              <fill>
                <patternFill>
                  <bgColor rgb="FFBED3F8"/>
                </patternFill>
              </fill>
            </x14:dxf>
          </x14:cfRule>
          <xm:sqref>M73:O73 Q73</xm:sqref>
        </x14:conditionalFormatting>
        <x14:conditionalFormatting xmlns:xm="http://schemas.microsoft.com/office/excel/2006/main">
          <x14:cfRule type="expression" priority="22" id="{51213BB1-A553-478C-A5BF-A989E6437AF0}">
            <xm:f>OR(AND(Menus!$E$5=0,$G$8=""),AND(Menus!$E$5=0,$G$8&lt;&gt;""),AND(Menus!$E$5&lt;&gt;0,$G$8=""))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Q7:S9 B11:S11 S10 B10:O10</xm:sqref>
        </x14:conditionalFormatting>
        <x14:conditionalFormatting xmlns:xm="http://schemas.microsoft.com/office/excel/2006/main">
          <x14:cfRule type="expression" priority="23" id="{54AEDBD3-BBD2-4164-815D-AA9BFC91AF9C}">
            <xm:f>AND(Menus!$D$3=TRUE,$G$8&lt;&gt;"",$D$41="Outra Base de Cálculo",$D$55="")</xm:f>
            <x14:dxf>
              <font>
                <color auto="1"/>
              </font>
              <fill>
                <patternFill>
                  <bgColor rgb="FFBF2D19"/>
                </patternFill>
              </fill>
            </x14:dxf>
          </x14:cfRule>
          <xm:sqref>D55:G55</xm:sqref>
        </x14:conditionalFormatting>
        <x14:conditionalFormatting xmlns:xm="http://schemas.microsoft.com/office/excel/2006/main">
          <x14:cfRule type="expression" priority="24" id="{1BD39BF4-DE53-4712-BFBC-A59C4D1EBB1C}">
            <xm:f>Menus!$E$5=0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B7:P9</xm:sqref>
        </x14:conditionalFormatting>
        <x14:conditionalFormatting xmlns:xm="http://schemas.microsoft.com/office/excel/2006/main">
          <x14:cfRule type="expression" priority="25" id="{B6A6F9A8-2065-4418-AA1A-52AD33CDF121}">
            <xm:f>OR(Menus!$D$3=FALSE,$G$8="")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B37:I75 B77:I77 B76:C76 I76 G76</xm:sqref>
        </x14:conditionalFormatting>
        <x14:conditionalFormatting xmlns:xm="http://schemas.microsoft.com/office/excel/2006/main">
          <x14:cfRule type="expression" priority="26" id="{E7F70703-0582-4791-87AD-F897B90788E5}">
            <xm:f>AND(Menus!$D$3=TRUE,$G$8&lt;&gt;"",$D$41="")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B43:I75 B77:I77 B76:C76 I76 G76</xm:sqref>
        </x14:conditionalFormatting>
        <x14:conditionalFormatting xmlns:xm="http://schemas.microsoft.com/office/excel/2006/main">
          <x14:cfRule type="expression" priority="27" id="{C3E6BAC4-21EE-40B8-B477-13C81C475697}">
            <xm:f>AND(Menus!$D$3=TRUE,$G$8&lt;&gt;"",$D$41="Outra Base de Cálculo",$D$55="")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C43:H51 C57:H75 C76 G76</xm:sqref>
        </x14:conditionalFormatting>
        <x14:conditionalFormatting xmlns:xm="http://schemas.microsoft.com/office/excel/2006/main">
          <x14:cfRule type="expression" priority="28" id="{ED96ED51-6EE1-4354-826A-BB77EF37F472}">
            <xm:f>AND(Menus!$D$3=TRUE,$G$8&lt;&gt;"",$D$41="Outra Base de Cálculo",OR($D$55="Valor Arbitrado",$D$55="Valor da Causa"))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vertical/>
                <horizontal/>
              </border>
            </x14:dxf>
          </x14:cfRule>
          <x14:cfRule type="expression" priority="29" id="{7DFF95D9-36C2-4170-AAC1-EF0D2DD1DB05}">
            <xm:f>AND(Menus!$D$3=TRUE,$G$8&lt;&gt;"",$D$41&lt;&gt;"Valor da Condenação")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C43:H51</xm:sqref>
        </x14:conditionalFormatting>
        <x14:conditionalFormatting xmlns:xm="http://schemas.microsoft.com/office/excel/2006/main">
          <x14:cfRule type="expression" priority="30" id="{D61FCA64-5CEF-4783-A22A-288DA29808B7}">
            <xm:f>AND(Menus!$D$3=TRUE,$G$8&lt;&gt;"",$D$41="Valor da Condenação")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B52:I75 B77:I77 B76:C76 I76 G76</xm:sqref>
        </x14:conditionalFormatting>
        <x14:conditionalFormatting xmlns:xm="http://schemas.microsoft.com/office/excel/2006/main">
          <x14:cfRule type="expression" priority="31" id="{4BECBD7C-7406-4488-9967-1AB2C0E7C14B}">
            <xm:f>AND(Menus!$D$3=TRUE,$G$8&lt;&gt;"",$D$41="Outra Base de Cálculo",$D$55="Valor Arbitrado")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C73:H75</xm:sqref>
        </x14:conditionalFormatting>
        <x14:conditionalFormatting xmlns:xm="http://schemas.microsoft.com/office/excel/2006/main">
          <x14:cfRule type="expression" priority="32" id="{639474FD-DBB1-4955-B07E-115D728C3BE5}">
            <xm:f>AND(Menus!$D$3=TRUE,$G$8&lt;&gt;"",NOT($D$41="Valor da Condenação"),$K$32="")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B43:I51</xm:sqref>
        </x14:conditionalFormatting>
        <x14:conditionalFormatting xmlns:xm="http://schemas.microsoft.com/office/excel/2006/main">
          <x14:cfRule type="expression" priority="33" id="{8E07E4E6-191B-4BDF-8655-DC181D4E584D}">
            <xm:f>OR(Menus!$E$10=0,$G$8="")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L13:S19 B29:T35 B13:I27 L21:S27 L20:P20 S20</xm:sqref>
        </x14:conditionalFormatting>
        <x14:conditionalFormatting xmlns:xm="http://schemas.microsoft.com/office/excel/2006/main">
          <x14:cfRule type="expression" priority="34" id="{C3C062FD-E2BD-4F60-A28E-8CAEB60E3B89}">
            <xm:f>OR(Menus!$E$10=0,$G$8="",$G$16="",$G$18="",$Q$16="Não",$Q$16="")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L18:S19 L21:S27 L20:P20 S20</xm:sqref>
        </x14:conditionalFormatting>
        <x14:conditionalFormatting xmlns:xm="http://schemas.microsoft.com/office/excel/2006/main">
          <x14:cfRule type="expression" priority="1" id="{516F0F16-3D12-4FDE-B2D7-AB7D1BCB2BDA}">
            <xm:f>OR(Menus!$E$10=0,$G$8="")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Q20:R20</xm:sqref>
        </x14:conditionalFormatting>
        <x14:conditionalFormatting xmlns:xm="http://schemas.microsoft.com/office/excel/2006/main">
          <x14:cfRule type="expression" priority="2" id="{598F245E-0CDB-434F-B360-CE2485612495}">
            <xm:f>OR(Menus!$E$10=0,$G$8="",$G$16="",$G$18="",$Q$16="Não",$Q$16="")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Q20:R20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F873A495-62F9-4BB2-A3E6-352AFC7301F8}">
          <x14:formula1>
            <xm:f>Menus!$J$4:$J$5</xm:f>
          </x14:formula1>
          <xm:sqref>G67:H67</xm:sqref>
        </x14:dataValidation>
        <x14:dataValidation type="list" allowBlank="1" showInputMessage="1" showErrorMessage="1" xr:uid="{090B244C-2CFA-4606-9DE5-7D854DF0AF65}">
          <x14:formula1>
            <xm:f>ÍNDICES!$I$2:$K$2</xm:f>
          </x14:formula1>
          <xm:sqref>D10</xm:sqref>
        </x14:dataValidation>
        <x14:dataValidation type="list" allowBlank="1" showInputMessage="1" showErrorMessage="1" xr:uid="{D4E61834-2450-4F53-BDBF-3425C065168B}">
          <x14:formula1>
            <xm:f>Menus!$G$8:$G$12</xm:f>
          </x14:formula1>
          <xm:sqref>E82:I82</xm:sqref>
        </x14:dataValidation>
        <x14:dataValidation type="list" allowBlank="1" showInputMessage="1" showErrorMessage="1" xr:uid="{D428E445-EF0F-4A70-9ED4-BE879CEA4391}">
          <x14:formula1>
            <xm:f>Menus!$J$2:$J$3</xm:f>
          </x14:formula1>
          <xm:sqref>D55</xm:sqref>
        </x14:dataValidation>
        <x14:dataValidation type="list" allowBlank="1" showInputMessage="1" showErrorMessage="1" xr:uid="{B3164A3A-B477-4676-842B-94E1C21D2DBA}">
          <x14:formula1>
            <xm:f>Menus!$G$2:$G$4</xm:f>
          </x14:formula1>
          <xm:sqref>D41</xm:sqref>
        </x14:dataValidation>
        <x14:dataValidation type="list" allowBlank="1" showInputMessage="1" showErrorMessage="1" xr:uid="{5EF322C3-C154-4C24-BE67-08C45EA67AE3}">
          <x14:formula1>
            <xm:f>Menus!$A$1:$A$3</xm:f>
          </x14:formula1>
          <xm:sqref>Q16:R16 G65:H65</xm:sqref>
        </x14:dataValidation>
        <x14:dataValidation type="list" allowBlank="1" showInputMessage="1" showErrorMessage="1" xr:uid="{8861BC41-172F-45CA-BA0A-F93830825CC4}">
          <x14:formula1>
            <xm:f>Menus_Online!$C$6:$C$9</xm:f>
          </x14:formula1>
          <xm:sqref>G3:G4</xm:sqref>
        </x14:dataValidation>
        <x14:dataValidation type="list" allowBlank="1" showInputMessage="1" showErrorMessage="1" xr:uid="{36ECA507-56D1-4D21-8950-A757F7A0DF4E}">
          <x14:formula1>
            <xm:f>Menus_Online!$L$7:$L$8</xm:f>
          </x14:formula1>
          <xm:sqref>G5 P5</xm:sqref>
        </x14:dataValidation>
        <x14:dataValidation type="list" allowBlank="1" showInputMessage="1" showErrorMessage="1" xr:uid="{95719D15-41D5-4FD7-80A4-1F9C39DA7C89}">
          <x14:formula1>
            <xm:f>Menus!L8:L9</xm:f>
          </x14:formula1>
          <xm:sqref>G92:H92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O928"/>
  <sheetViews>
    <sheetView topLeftCell="A738" workbookViewId="0">
      <selection activeCell="K757" sqref="K757"/>
    </sheetView>
  </sheetViews>
  <sheetFormatPr defaultColWidth="0" defaultRowHeight="15" x14ac:dyDescent="0.25"/>
  <cols>
    <col min="1" max="1" width="12.7109375" style="45" customWidth="1"/>
    <col min="2" max="2" width="14.140625" style="60" hidden="1" customWidth="1"/>
    <col min="3" max="3" width="13.7109375" style="47" hidden="1" customWidth="1"/>
    <col min="4" max="4" width="12.7109375" style="1" customWidth="1"/>
    <col min="5" max="5" width="9.140625" style="1" customWidth="1"/>
    <col min="6" max="6" width="12.7109375" style="1" customWidth="1"/>
    <col min="7" max="7" width="23.140625" style="1" customWidth="1"/>
    <col min="8" max="8" width="12.7109375" style="1" customWidth="1"/>
    <col min="9" max="11" width="20.7109375" style="1" customWidth="1"/>
    <col min="12" max="12" width="20.28515625" style="76" customWidth="1"/>
    <col min="13" max="13" width="20.28515625" style="89" hidden="1" customWidth="1"/>
    <col min="14" max="16384" width="20.28515625" style="1" hidden="1"/>
  </cols>
  <sheetData>
    <row r="1" spans="1:14" x14ac:dyDescent="0.25">
      <c r="A1" s="43" t="s">
        <v>31</v>
      </c>
    </row>
    <row r="2" spans="1:14" x14ac:dyDescent="0.25">
      <c r="A2" s="58" t="s">
        <v>73</v>
      </c>
      <c r="B2" s="58" t="s">
        <v>76</v>
      </c>
      <c r="C2" s="43" t="s">
        <v>75</v>
      </c>
      <c r="D2" s="43" t="s">
        <v>35</v>
      </c>
      <c r="E2" s="77" t="s">
        <v>65</v>
      </c>
      <c r="F2" s="43" t="s">
        <v>68</v>
      </c>
      <c r="G2" s="43" t="s">
        <v>79</v>
      </c>
      <c r="H2" s="43" t="s">
        <v>71</v>
      </c>
      <c r="I2" s="43" t="s">
        <v>77</v>
      </c>
      <c r="J2" s="43" t="s">
        <v>80</v>
      </c>
      <c r="K2" s="43" t="s">
        <v>101</v>
      </c>
      <c r="L2" s="79" t="s">
        <v>95</v>
      </c>
      <c r="M2" s="90" t="s">
        <v>102</v>
      </c>
      <c r="N2" s="43" t="s">
        <v>103</v>
      </c>
    </row>
    <row r="3" spans="1:14" x14ac:dyDescent="0.25">
      <c r="A3" s="59">
        <v>23377</v>
      </c>
      <c r="B3" s="62"/>
      <c r="C3" s="45"/>
      <c r="D3" s="45"/>
      <c r="F3" s="45"/>
      <c r="G3" s="69" t="e">
        <f ca="1">IF(L2="","",G2+MAX(0,(1+L2)/ROUND(OFFSET(A3,0,FORMULÁRIO!$E$10-1)/OFFSET(A2,0,FORMULÁRIO!$E$10-1),4)-1)+IF(DATE(YEAR(FORMULÁRIO!Q$22),MONTH(FORMULÁRIO!Q$22),1)=TabelaCalculo[[#This Row],[DATA]],M2*(1-DAY(FORMULÁRIO!Q$22))/DAY(EOMONTH(TabelaCalculo[[#This Row],[DATA]],0)),0)+IF(DATE(YEAR(FORMULÁRIO!Q$24),MONTH(FORMULÁRIO!Q$24),1)=TabelaCalculo[[#This Row],[DATA]],M2*(-1+DAY(FORMULÁRIO!Q$24))/DAY(EOMONTH(TabelaCalculo[[#This Row],[DATA]],0)),0))</f>
        <v>#VALUE!</v>
      </c>
      <c r="H3" s="45"/>
      <c r="I3" s="62"/>
      <c r="J3" s="62"/>
      <c r="K3" s="62"/>
      <c r="L3" s="80"/>
      <c r="M3" s="91"/>
      <c r="N3" s="46"/>
    </row>
    <row r="4" spans="1:14" x14ac:dyDescent="0.25">
      <c r="A4" s="59">
        <v>23408</v>
      </c>
      <c r="B4" s="62"/>
      <c r="C4" s="46"/>
      <c r="D4" s="46"/>
      <c r="F4" s="46"/>
      <c r="G4" s="46" t="str">
        <f ca="1">IF(L3="","",G3+MAX(0,(1+L3)/ROUND(OFFSET(A4,0,FORMULÁRIO!$E$10-1)/OFFSET(A3,0,FORMULÁRIO!$E$10-1),4)-1)+IF(DATE(YEAR(FORMULÁRIO!Q$22),MONTH(FORMULÁRIO!Q$22),1)=TabelaCalculo[[#This Row],[DATA]],M3*(1-DAY(FORMULÁRIO!Q$22))/DAY(EOMONTH(TabelaCalculo[[#This Row],[DATA]],0)),0)+IF(DATE(YEAR(FORMULÁRIO!Q$24),MONTH(FORMULÁRIO!Q$24),1)=TabelaCalculo[[#This Row],[DATA]],M3*(-1+DAY(FORMULÁRIO!Q$24))/DAY(EOMONTH(TabelaCalculo[[#This Row],[DATA]],0)),0))</f>
        <v/>
      </c>
      <c r="H4" s="46"/>
      <c r="I4" s="62"/>
      <c r="J4" s="62"/>
      <c r="K4" s="62"/>
      <c r="L4" s="80"/>
      <c r="M4" s="91"/>
      <c r="N4" s="46"/>
    </row>
    <row r="5" spans="1:14" x14ac:dyDescent="0.25">
      <c r="A5" s="59">
        <v>23437</v>
      </c>
      <c r="B5" s="62"/>
      <c r="C5" s="46"/>
      <c r="D5" s="46"/>
      <c r="F5" s="46"/>
      <c r="G5" s="46" t="str">
        <f ca="1">IF(L4="","",G4+MAX(0,(1+L4)/ROUND(OFFSET(A5,0,FORMULÁRIO!$E$10-1)/OFFSET(A4,0,FORMULÁRIO!$E$10-1),4)-1)+IF(DATE(YEAR(FORMULÁRIO!Q$22),MONTH(FORMULÁRIO!Q$22),1)=TabelaCalculo[[#This Row],[DATA]],M4*(1-DAY(FORMULÁRIO!Q$22))/DAY(EOMONTH(TabelaCalculo[[#This Row],[DATA]],0)),0)+IF(DATE(YEAR(FORMULÁRIO!Q$24),MONTH(FORMULÁRIO!Q$24),1)=TabelaCalculo[[#This Row],[DATA]],M4*(-1+DAY(FORMULÁRIO!Q$24))/DAY(EOMONTH(TabelaCalculo[[#This Row],[DATA]],0)),0))</f>
        <v/>
      </c>
      <c r="H5" s="46"/>
      <c r="I5" s="62"/>
      <c r="J5" s="62"/>
      <c r="K5" s="62"/>
      <c r="L5" s="80"/>
      <c r="M5" s="91"/>
      <c r="N5" s="46"/>
    </row>
    <row r="6" spans="1:14" x14ac:dyDescent="0.25">
      <c r="A6" s="59">
        <v>23468</v>
      </c>
      <c r="B6" s="62"/>
      <c r="C6" s="46"/>
      <c r="D6" s="45"/>
      <c r="F6" s="45"/>
      <c r="G6" s="69" t="str">
        <f ca="1">IF(L5="","",G5+MAX(0,(1+L5)/ROUND(OFFSET(A6,0,FORMULÁRIO!$E$10-1)/OFFSET(A5,0,FORMULÁRIO!$E$10-1),4)-1)+IF(DATE(YEAR(FORMULÁRIO!Q$22),MONTH(FORMULÁRIO!Q$22),1)=TabelaCalculo[[#This Row],[DATA]],M5*(1-DAY(FORMULÁRIO!Q$22))/DAY(EOMONTH(TabelaCalculo[[#This Row],[DATA]],0)),0)+IF(DATE(YEAR(FORMULÁRIO!Q$24),MONTH(FORMULÁRIO!Q$24),1)=TabelaCalculo[[#This Row],[DATA]],M5*(-1+DAY(FORMULÁRIO!Q$24))/DAY(EOMONTH(TabelaCalculo[[#This Row],[DATA]],0)),0))</f>
        <v/>
      </c>
      <c r="H6" s="45"/>
      <c r="I6" s="62"/>
      <c r="J6" s="62"/>
      <c r="K6" s="62"/>
      <c r="L6" s="80"/>
      <c r="M6" s="91"/>
      <c r="N6" s="46"/>
    </row>
    <row r="7" spans="1:14" x14ac:dyDescent="0.25">
      <c r="A7" s="59">
        <v>23498</v>
      </c>
      <c r="B7" s="62"/>
      <c r="C7" s="45"/>
      <c r="D7" s="45"/>
      <c r="F7" s="45"/>
      <c r="G7" s="69" t="str">
        <f ca="1">IF(L6="","",G6+MAX(0,(1+L6)/ROUND(OFFSET(A7,0,FORMULÁRIO!$E$10-1)/OFFSET(A6,0,FORMULÁRIO!$E$10-1),4)-1)+IF(DATE(YEAR(FORMULÁRIO!Q$22),MONTH(FORMULÁRIO!Q$22),1)=TabelaCalculo[[#This Row],[DATA]],M6*(1-DAY(FORMULÁRIO!Q$22))/DAY(EOMONTH(TabelaCalculo[[#This Row],[DATA]],0)),0)+IF(DATE(YEAR(FORMULÁRIO!Q$24),MONTH(FORMULÁRIO!Q$24),1)=TabelaCalculo[[#This Row],[DATA]],M6*(-1+DAY(FORMULÁRIO!Q$24))/DAY(EOMONTH(TabelaCalculo[[#This Row],[DATA]],0)),0))</f>
        <v/>
      </c>
      <c r="H7" s="45"/>
      <c r="I7" s="62"/>
      <c r="J7" s="62"/>
      <c r="K7" s="62"/>
      <c r="L7" s="80"/>
      <c r="M7" s="91"/>
      <c r="N7" s="46"/>
    </row>
    <row r="8" spans="1:14" x14ac:dyDescent="0.25">
      <c r="A8" s="59">
        <v>23529</v>
      </c>
      <c r="B8" s="62"/>
      <c r="C8" s="45"/>
      <c r="D8" s="45"/>
      <c r="F8" s="45"/>
      <c r="G8" s="69" t="str">
        <f ca="1">IF(L7="","",G7+MAX(0,(1+L7)/ROUND(OFFSET(A8,0,FORMULÁRIO!$E$10-1)/OFFSET(A7,0,FORMULÁRIO!$E$10-1),4)-1)+IF(DATE(YEAR(FORMULÁRIO!Q$22),MONTH(FORMULÁRIO!Q$22),1)=TabelaCalculo[[#This Row],[DATA]],M7*(1-DAY(FORMULÁRIO!Q$22))/DAY(EOMONTH(TabelaCalculo[[#This Row],[DATA]],0)),0)+IF(DATE(YEAR(FORMULÁRIO!Q$24),MONTH(FORMULÁRIO!Q$24),1)=TabelaCalculo[[#This Row],[DATA]],M7*(-1+DAY(FORMULÁRIO!Q$24))/DAY(EOMONTH(TabelaCalculo[[#This Row],[DATA]],0)),0))</f>
        <v/>
      </c>
      <c r="H8" s="45"/>
      <c r="I8" s="62"/>
      <c r="J8" s="62"/>
      <c r="K8" s="62"/>
      <c r="L8" s="80"/>
      <c r="M8" s="91"/>
      <c r="N8" s="46"/>
    </row>
    <row r="9" spans="1:14" x14ac:dyDescent="0.25">
      <c r="A9" s="59">
        <v>23559</v>
      </c>
      <c r="B9" s="62"/>
      <c r="C9" s="45"/>
      <c r="D9" s="45"/>
      <c r="F9" s="45"/>
      <c r="G9" s="69" t="str">
        <f ca="1">IF(L8="","",G8+MAX(0,(1+L8)/ROUND(OFFSET(A9,0,FORMULÁRIO!$E$10-1)/OFFSET(A8,0,FORMULÁRIO!$E$10-1),4)-1)+IF(DATE(YEAR(FORMULÁRIO!Q$22),MONTH(FORMULÁRIO!Q$22),1)=TabelaCalculo[[#This Row],[DATA]],M8*(1-DAY(FORMULÁRIO!Q$22))/DAY(EOMONTH(TabelaCalculo[[#This Row],[DATA]],0)),0)+IF(DATE(YEAR(FORMULÁRIO!Q$24),MONTH(FORMULÁRIO!Q$24),1)=TabelaCalculo[[#This Row],[DATA]],M8*(-1+DAY(FORMULÁRIO!Q$24))/DAY(EOMONTH(TabelaCalculo[[#This Row],[DATA]],0)),0))</f>
        <v/>
      </c>
      <c r="H9" s="45"/>
      <c r="I9" s="62"/>
      <c r="J9" s="62"/>
      <c r="K9" s="62"/>
      <c r="L9" s="80"/>
      <c r="M9" s="91"/>
      <c r="N9" s="46"/>
    </row>
    <row r="10" spans="1:14" x14ac:dyDescent="0.25">
      <c r="A10" s="59">
        <v>23590</v>
      </c>
      <c r="B10" s="62"/>
      <c r="C10" s="45"/>
      <c r="D10" s="45"/>
      <c r="F10" s="45"/>
      <c r="G10" s="69" t="str">
        <f ca="1">IF(L9="","",G9+MAX(0,(1+L9)/ROUND(OFFSET(A10,0,FORMULÁRIO!$E$10-1)/OFFSET(A9,0,FORMULÁRIO!$E$10-1),4)-1)+IF(DATE(YEAR(FORMULÁRIO!Q$22),MONTH(FORMULÁRIO!Q$22),1)=TabelaCalculo[[#This Row],[DATA]],M9*(1-DAY(FORMULÁRIO!Q$22))/DAY(EOMONTH(TabelaCalculo[[#This Row],[DATA]],0)),0)+IF(DATE(YEAR(FORMULÁRIO!Q$24),MONTH(FORMULÁRIO!Q$24),1)=TabelaCalculo[[#This Row],[DATA]],M9*(-1+DAY(FORMULÁRIO!Q$24))/DAY(EOMONTH(TabelaCalculo[[#This Row],[DATA]],0)),0))</f>
        <v/>
      </c>
      <c r="H10" s="45"/>
      <c r="I10" s="62"/>
      <c r="J10" s="62"/>
      <c r="K10" s="62"/>
      <c r="L10" s="80"/>
      <c r="M10" s="91"/>
      <c r="N10" s="46"/>
    </row>
    <row r="11" spans="1:14" x14ac:dyDescent="0.25">
      <c r="A11" s="59">
        <v>23621</v>
      </c>
      <c r="B11" s="62"/>
      <c r="C11" s="45"/>
      <c r="D11" s="45"/>
      <c r="F11" s="45"/>
      <c r="G11" s="69" t="str">
        <f ca="1">IF(L10="","",G10+MAX(0,(1+L10)/ROUND(OFFSET(A11,0,FORMULÁRIO!$E$10-1)/OFFSET(A10,0,FORMULÁRIO!$E$10-1),4)-1)+IF(DATE(YEAR(FORMULÁRIO!Q$22),MONTH(FORMULÁRIO!Q$22),1)=TabelaCalculo[[#This Row],[DATA]],M10*(1-DAY(FORMULÁRIO!Q$22))/DAY(EOMONTH(TabelaCalculo[[#This Row],[DATA]],0)),0)+IF(DATE(YEAR(FORMULÁRIO!Q$24),MONTH(FORMULÁRIO!Q$24),1)=TabelaCalculo[[#This Row],[DATA]],M10*(-1+DAY(FORMULÁRIO!Q$24))/DAY(EOMONTH(TabelaCalculo[[#This Row],[DATA]],0)),0))</f>
        <v/>
      </c>
      <c r="H11" s="45"/>
      <c r="I11" s="62"/>
      <c r="J11" s="62"/>
      <c r="K11" s="62"/>
      <c r="L11" s="80"/>
      <c r="M11" s="91"/>
      <c r="N11" s="46"/>
    </row>
    <row r="12" spans="1:14" x14ac:dyDescent="0.25">
      <c r="A12" s="59">
        <v>23651</v>
      </c>
      <c r="B12" s="62"/>
      <c r="C12" s="46"/>
      <c r="D12" s="45"/>
      <c r="F12" s="45"/>
      <c r="G12" s="69" t="str">
        <f ca="1">IF(L11="","",G11+MAX(0,(1+L11)/ROUND(OFFSET(A12,0,FORMULÁRIO!$E$10-1)/OFFSET(A11,0,FORMULÁRIO!$E$10-1),4)-1)+IF(DATE(YEAR(FORMULÁRIO!Q$22),MONTH(FORMULÁRIO!Q$22),1)=TabelaCalculo[[#This Row],[DATA]],M11*(1-DAY(FORMULÁRIO!Q$22))/DAY(EOMONTH(TabelaCalculo[[#This Row],[DATA]],0)),0)+IF(DATE(YEAR(FORMULÁRIO!Q$24),MONTH(FORMULÁRIO!Q$24),1)=TabelaCalculo[[#This Row],[DATA]],M11*(-1+DAY(FORMULÁRIO!Q$24))/DAY(EOMONTH(TabelaCalculo[[#This Row],[DATA]],0)),0))</f>
        <v/>
      </c>
      <c r="H12" s="45"/>
      <c r="I12" s="62">
        <v>10000</v>
      </c>
      <c r="J12" s="62">
        <v>890.41963199999998</v>
      </c>
      <c r="K12" s="62">
        <v>10000</v>
      </c>
      <c r="L12" s="80"/>
      <c r="M12" s="91"/>
      <c r="N12" s="46"/>
    </row>
    <row r="13" spans="1:14" x14ac:dyDescent="0.25">
      <c r="A13" s="59">
        <v>23682</v>
      </c>
      <c r="B13" s="62"/>
      <c r="C13" s="46"/>
      <c r="D13" s="45"/>
      <c r="F13" s="45"/>
      <c r="G13" s="69" t="str">
        <f ca="1">IF(L12="","",G12+MAX(0,(1+L12)/ROUND(OFFSET(A13,0,FORMULÁRIO!$E$10-1)/OFFSET(A12,0,FORMULÁRIO!$E$10-1),4)-1)+IF(DATE(YEAR(FORMULÁRIO!Q$22),MONTH(FORMULÁRIO!Q$22),1)=TabelaCalculo[[#This Row],[DATA]],M12*(1-DAY(FORMULÁRIO!Q$22))/DAY(EOMONTH(TabelaCalculo[[#This Row],[DATA]],0)),0)+IF(DATE(YEAR(FORMULÁRIO!Q$24),MONTH(FORMULÁRIO!Q$24),1)=TabelaCalculo[[#This Row],[DATA]],M12*(-1+DAY(FORMULÁRIO!Q$24))/DAY(EOMONTH(TabelaCalculo[[#This Row],[DATA]],0)),0))</f>
        <v/>
      </c>
      <c r="H13" s="45"/>
      <c r="I13" s="62">
        <v>10000</v>
      </c>
      <c r="J13" s="62">
        <v>890.41963199999998</v>
      </c>
      <c r="K13" s="62">
        <v>10000</v>
      </c>
      <c r="L13" s="80"/>
      <c r="M13" s="91"/>
      <c r="N13" s="46"/>
    </row>
    <row r="14" spans="1:14" x14ac:dyDescent="0.25">
      <c r="A14" s="59">
        <v>23712</v>
      </c>
      <c r="B14" s="62"/>
      <c r="C14" s="46"/>
      <c r="D14" s="45"/>
      <c r="F14" s="45"/>
      <c r="G14" s="69" t="str">
        <f ca="1">IF(L13="","",G13+MAX(0,(1+L13)/ROUND(OFFSET(A14,0,FORMULÁRIO!$E$10-1)/OFFSET(A13,0,FORMULÁRIO!$E$10-1),4)-1)+IF(DATE(YEAR(FORMULÁRIO!Q$22),MONTH(FORMULÁRIO!Q$22),1)=TabelaCalculo[[#This Row],[DATA]],M13*(1-DAY(FORMULÁRIO!Q$22))/DAY(EOMONTH(TabelaCalculo[[#This Row],[DATA]],0)),0)+IF(DATE(YEAR(FORMULÁRIO!Q$24),MONTH(FORMULÁRIO!Q$24),1)=TabelaCalculo[[#This Row],[DATA]],M13*(-1+DAY(FORMULÁRIO!Q$24))/DAY(EOMONTH(TabelaCalculo[[#This Row],[DATA]],0)),0))</f>
        <v/>
      </c>
      <c r="H14" s="45"/>
      <c r="I14" s="62">
        <v>10000</v>
      </c>
      <c r="J14" s="62">
        <v>890.41963199999998</v>
      </c>
      <c r="K14" s="62">
        <v>10000</v>
      </c>
      <c r="L14" s="80"/>
      <c r="M14" s="91"/>
      <c r="N14" s="46"/>
    </row>
    <row r="15" spans="1:14" x14ac:dyDescent="0.25">
      <c r="A15" s="59">
        <v>23743</v>
      </c>
      <c r="B15" s="62"/>
      <c r="C15" s="46"/>
      <c r="D15" s="45"/>
      <c r="F15" s="45"/>
      <c r="G15" s="69" t="str">
        <f ca="1">IF(L14="","",G14+MAX(0,(1+L14)/ROUND(OFFSET(A15,0,FORMULÁRIO!$E$10-1)/OFFSET(A14,0,FORMULÁRIO!$E$10-1),4)-1)+IF(DATE(YEAR(FORMULÁRIO!Q$22),MONTH(FORMULÁRIO!Q$22),1)=TabelaCalculo[[#This Row],[DATA]],M14*(1-DAY(FORMULÁRIO!Q$22))/DAY(EOMONTH(TabelaCalculo[[#This Row],[DATA]],0)),0)+IF(DATE(YEAR(FORMULÁRIO!Q$24),MONTH(FORMULÁRIO!Q$24),1)=TabelaCalculo[[#This Row],[DATA]],M14*(-1+DAY(FORMULÁRIO!Q$24))/DAY(EOMONTH(TabelaCalculo[[#This Row],[DATA]],0)),0))</f>
        <v/>
      </c>
      <c r="H15" s="45"/>
      <c r="I15" s="62">
        <v>11300</v>
      </c>
      <c r="J15" s="62">
        <v>1006.174184</v>
      </c>
      <c r="K15" s="62">
        <v>11300</v>
      </c>
      <c r="L15" s="80"/>
      <c r="M15" s="91"/>
      <c r="N15" s="46"/>
    </row>
    <row r="16" spans="1:14" x14ac:dyDescent="0.25">
      <c r="A16" s="59">
        <v>23774</v>
      </c>
      <c r="B16" s="62"/>
      <c r="C16" s="46"/>
      <c r="D16" s="45"/>
      <c r="F16" s="45"/>
      <c r="G16" s="69" t="str">
        <f ca="1">IF(L15="","",G15+MAX(0,(1+L15)/ROUND(OFFSET(A16,0,FORMULÁRIO!$E$10-1)/OFFSET(A15,0,FORMULÁRIO!$E$10-1),4)-1)+IF(DATE(YEAR(FORMULÁRIO!Q$22),MONTH(FORMULÁRIO!Q$22),1)=TabelaCalculo[[#This Row],[DATA]],M15*(1-DAY(FORMULÁRIO!Q$22))/DAY(EOMONTH(TabelaCalculo[[#This Row],[DATA]],0)),0)+IF(DATE(YEAR(FORMULÁRIO!Q$24),MONTH(FORMULÁRIO!Q$24),1)=TabelaCalculo[[#This Row],[DATA]],M15*(-1+DAY(FORMULÁRIO!Q$24))/DAY(EOMONTH(TabelaCalculo[[#This Row],[DATA]],0)),0))</f>
        <v/>
      </c>
      <c r="H16" s="45"/>
      <c r="I16" s="62">
        <v>11300</v>
      </c>
      <c r="J16" s="62">
        <v>1006.174184</v>
      </c>
      <c r="K16" s="62">
        <v>11300</v>
      </c>
      <c r="L16" s="80"/>
      <c r="M16" s="91"/>
      <c r="N16" s="46"/>
    </row>
    <row r="17" spans="1:14" x14ac:dyDescent="0.25">
      <c r="A17" s="59">
        <v>23802</v>
      </c>
      <c r="B17" s="62"/>
      <c r="C17" s="46"/>
      <c r="D17" s="45"/>
      <c r="F17" s="45"/>
      <c r="G17" s="69" t="str">
        <f ca="1">IF(L16="","",G16+MAX(0,(1+L16)/ROUND(OFFSET(A17,0,FORMULÁRIO!$E$10-1)/OFFSET(A16,0,FORMULÁRIO!$E$10-1),4)-1)+IF(DATE(YEAR(FORMULÁRIO!Q$22),MONTH(FORMULÁRIO!Q$22),1)=TabelaCalculo[[#This Row],[DATA]],M16*(1-DAY(FORMULÁRIO!Q$22))/DAY(EOMONTH(TabelaCalculo[[#This Row],[DATA]],0)),0)+IF(DATE(YEAR(FORMULÁRIO!Q$24),MONTH(FORMULÁRIO!Q$24),1)=TabelaCalculo[[#This Row],[DATA]],M16*(-1+DAY(FORMULÁRIO!Q$24))/DAY(EOMONTH(TabelaCalculo[[#This Row],[DATA]],0)),0))</f>
        <v/>
      </c>
      <c r="H17" s="45"/>
      <c r="I17" s="62">
        <v>11300</v>
      </c>
      <c r="J17" s="62">
        <v>1006.174184</v>
      </c>
      <c r="K17" s="62">
        <v>11300</v>
      </c>
      <c r="L17" s="80"/>
      <c r="M17" s="91"/>
      <c r="N17" s="46"/>
    </row>
    <row r="18" spans="1:14" x14ac:dyDescent="0.25">
      <c r="A18" s="59">
        <v>23833</v>
      </c>
      <c r="B18" s="62"/>
      <c r="C18" s="46"/>
      <c r="D18" s="45"/>
      <c r="F18" s="45"/>
      <c r="G18" s="69" t="str">
        <f ca="1">IF(L17="","",G17+MAX(0,(1+L17)/ROUND(OFFSET(A18,0,FORMULÁRIO!$E$10-1)/OFFSET(A17,0,FORMULÁRIO!$E$10-1),4)-1)+IF(DATE(YEAR(FORMULÁRIO!Q$22),MONTH(FORMULÁRIO!Q$22),1)=TabelaCalculo[[#This Row],[DATA]],M17*(1-DAY(FORMULÁRIO!Q$22))/DAY(EOMONTH(TabelaCalculo[[#This Row],[DATA]],0)),0)+IF(DATE(YEAR(FORMULÁRIO!Q$24),MONTH(FORMULÁRIO!Q$24),1)=TabelaCalculo[[#This Row],[DATA]],M17*(-1+DAY(FORMULÁRIO!Q$24))/DAY(EOMONTH(TabelaCalculo[[#This Row],[DATA]],0)),0))</f>
        <v/>
      </c>
      <c r="H18" s="45"/>
      <c r="I18" s="62">
        <v>13400</v>
      </c>
      <c r="J18" s="62">
        <v>1193.1623070000001</v>
      </c>
      <c r="K18" s="62">
        <v>13400</v>
      </c>
      <c r="L18" s="80"/>
      <c r="M18" s="91"/>
      <c r="N18" s="46"/>
    </row>
    <row r="19" spans="1:14" x14ac:dyDescent="0.25">
      <c r="A19" s="59">
        <v>23863</v>
      </c>
      <c r="B19" s="62"/>
      <c r="C19" s="46"/>
      <c r="D19" s="45"/>
      <c r="F19" s="45"/>
      <c r="G19" s="69" t="str">
        <f ca="1">IF(L18="","",G18+MAX(0,(1+L18)/ROUND(OFFSET(A19,0,FORMULÁRIO!$E$10-1)/OFFSET(A18,0,FORMULÁRIO!$E$10-1),4)-1)+IF(DATE(YEAR(FORMULÁRIO!Q$22),MONTH(FORMULÁRIO!Q$22),1)=TabelaCalculo[[#This Row],[DATA]],M18*(1-DAY(FORMULÁRIO!Q$22))/DAY(EOMONTH(TabelaCalculo[[#This Row],[DATA]],0)),0)+IF(DATE(YEAR(FORMULÁRIO!Q$24),MONTH(FORMULÁRIO!Q$24),1)=TabelaCalculo[[#This Row],[DATA]],M18*(-1+DAY(FORMULÁRIO!Q$24))/DAY(EOMONTH(TabelaCalculo[[#This Row],[DATA]],0)),0))</f>
        <v/>
      </c>
      <c r="H19" s="45"/>
      <c r="I19" s="62">
        <v>13400</v>
      </c>
      <c r="J19" s="62">
        <v>1193.1623070000001</v>
      </c>
      <c r="K19" s="62">
        <v>13400</v>
      </c>
      <c r="L19" s="80"/>
      <c r="M19" s="91"/>
      <c r="N19" s="46"/>
    </row>
    <row r="20" spans="1:14" x14ac:dyDescent="0.25">
      <c r="A20" s="59">
        <v>23894</v>
      </c>
      <c r="B20" s="62"/>
      <c r="C20" s="46"/>
      <c r="D20" s="45"/>
      <c r="F20" s="45"/>
      <c r="G20" s="69" t="str">
        <f ca="1">IF(L19="","",G19+MAX(0,(1+L19)/ROUND(OFFSET(A20,0,FORMULÁRIO!$E$10-1)/OFFSET(A19,0,FORMULÁRIO!$E$10-1),4)-1)+IF(DATE(YEAR(FORMULÁRIO!Q$22),MONTH(FORMULÁRIO!Q$22),1)=TabelaCalculo[[#This Row],[DATA]],M19*(1-DAY(FORMULÁRIO!Q$22))/DAY(EOMONTH(TabelaCalculo[[#This Row],[DATA]],0)),0)+IF(DATE(YEAR(FORMULÁRIO!Q$24),MONTH(FORMULÁRIO!Q$24),1)=TabelaCalculo[[#This Row],[DATA]],M19*(-1+DAY(FORMULÁRIO!Q$24))/DAY(EOMONTH(TabelaCalculo[[#This Row],[DATA]],0)),0))</f>
        <v/>
      </c>
      <c r="H20" s="45"/>
      <c r="I20" s="62">
        <v>13400</v>
      </c>
      <c r="J20" s="62">
        <v>1193.1623070000001</v>
      </c>
      <c r="K20" s="62">
        <v>13400</v>
      </c>
      <c r="L20" s="80"/>
      <c r="M20" s="91"/>
      <c r="N20" s="46"/>
    </row>
    <row r="21" spans="1:14" x14ac:dyDescent="0.25">
      <c r="A21" s="59">
        <v>23924</v>
      </c>
      <c r="B21" s="62"/>
      <c r="C21" s="46"/>
      <c r="D21" s="45"/>
      <c r="F21" s="45"/>
      <c r="G21" s="69" t="str">
        <f ca="1">IF(L20="","",G20+MAX(0,(1+L20)/ROUND(OFFSET(A21,0,FORMULÁRIO!$E$10-1)/OFFSET(A20,0,FORMULÁRIO!$E$10-1),4)-1)+IF(DATE(YEAR(FORMULÁRIO!Q$22),MONTH(FORMULÁRIO!Q$22),1)=TabelaCalculo[[#This Row],[DATA]],M20*(1-DAY(FORMULÁRIO!Q$22))/DAY(EOMONTH(TabelaCalculo[[#This Row],[DATA]],0)),0)+IF(DATE(YEAR(FORMULÁRIO!Q$24),MONTH(FORMULÁRIO!Q$24),1)=TabelaCalculo[[#This Row],[DATA]],M20*(-1+DAY(FORMULÁRIO!Q$24))/DAY(EOMONTH(TabelaCalculo[[#This Row],[DATA]],0)),0))</f>
        <v/>
      </c>
      <c r="H21" s="45"/>
      <c r="I21" s="62">
        <v>15200</v>
      </c>
      <c r="J21" s="62">
        <v>1353.4378400000001</v>
      </c>
      <c r="K21" s="62">
        <v>15200</v>
      </c>
      <c r="L21" s="80"/>
      <c r="M21" s="91"/>
      <c r="N21" s="46"/>
    </row>
    <row r="22" spans="1:14" x14ac:dyDescent="0.25">
      <c r="A22" s="59">
        <v>23955</v>
      </c>
      <c r="B22" s="62"/>
      <c r="C22" s="46"/>
      <c r="D22" s="45"/>
      <c r="F22" s="45"/>
      <c r="G22" s="69" t="str">
        <f ca="1">IF(L21="","",G21+MAX(0,(1+L21)/ROUND(OFFSET(A22,0,FORMULÁRIO!$E$10-1)/OFFSET(A21,0,FORMULÁRIO!$E$10-1),4)-1)+IF(DATE(YEAR(FORMULÁRIO!Q$22),MONTH(FORMULÁRIO!Q$22),1)=TabelaCalculo[[#This Row],[DATA]],M21*(1-DAY(FORMULÁRIO!Q$22))/DAY(EOMONTH(TabelaCalculo[[#This Row],[DATA]],0)),0)+IF(DATE(YEAR(FORMULÁRIO!Q$24),MONTH(FORMULÁRIO!Q$24),1)=TabelaCalculo[[#This Row],[DATA]],M21*(-1+DAY(FORMULÁRIO!Q$24))/DAY(EOMONTH(TabelaCalculo[[#This Row],[DATA]],0)),0))</f>
        <v/>
      </c>
      <c r="H22" s="45"/>
      <c r="I22" s="62">
        <v>15200</v>
      </c>
      <c r="J22" s="62">
        <v>1353.4378400000001</v>
      </c>
      <c r="K22" s="62">
        <v>15200</v>
      </c>
      <c r="L22" s="80"/>
      <c r="M22" s="91"/>
      <c r="N22" s="46"/>
    </row>
    <row r="23" spans="1:14" x14ac:dyDescent="0.25">
      <c r="A23" s="59">
        <v>23986</v>
      </c>
      <c r="B23" s="62"/>
      <c r="C23" s="46"/>
      <c r="D23" s="45"/>
      <c r="F23" s="45"/>
      <c r="G23" s="69" t="str">
        <f ca="1">IF(L22="","",G22+MAX(0,(1+L22)/ROUND(OFFSET(A23,0,FORMULÁRIO!$E$10-1)/OFFSET(A22,0,FORMULÁRIO!$E$10-1),4)-1)+IF(DATE(YEAR(FORMULÁRIO!Q$22),MONTH(FORMULÁRIO!Q$22),1)=TabelaCalculo[[#This Row],[DATA]],M22*(1-DAY(FORMULÁRIO!Q$22))/DAY(EOMONTH(TabelaCalculo[[#This Row],[DATA]],0)),0)+IF(DATE(YEAR(FORMULÁRIO!Q$24),MONTH(FORMULÁRIO!Q$24),1)=TabelaCalculo[[#This Row],[DATA]],M22*(-1+DAY(FORMULÁRIO!Q$24))/DAY(EOMONTH(TabelaCalculo[[#This Row],[DATA]],0)),0))</f>
        <v/>
      </c>
      <c r="H23" s="45"/>
      <c r="I23" s="62">
        <v>15700</v>
      </c>
      <c r="J23" s="62">
        <v>1397.9588220000001</v>
      </c>
      <c r="K23" s="62">
        <v>15700</v>
      </c>
      <c r="L23" s="80"/>
      <c r="M23" s="91"/>
      <c r="N23" s="46"/>
    </row>
    <row r="24" spans="1:14" x14ac:dyDescent="0.25">
      <c r="A24" s="59">
        <v>24016</v>
      </c>
      <c r="B24" s="62"/>
      <c r="C24" s="46"/>
      <c r="D24" s="45"/>
      <c r="F24" s="45"/>
      <c r="G24" s="69" t="str">
        <f ca="1">IF(L23="","",G23+MAX(0,(1+L23)/ROUND(OFFSET(A24,0,FORMULÁRIO!$E$10-1)/OFFSET(A23,0,FORMULÁRIO!$E$10-1),4)-1)+IF(DATE(YEAR(FORMULÁRIO!Q$22),MONTH(FORMULÁRIO!Q$22),1)=TabelaCalculo[[#This Row],[DATA]],M23*(1-DAY(FORMULÁRIO!Q$22))/DAY(EOMONTH(TabelaCalculo[[#This Row],[DATA]],0)),0)+IF(DATE(YEAR(FORMULÁRIO!Q$24),MONTH(FORMULÁRIO!Q$24),1)=TabelaCalculo[[#This Row],[DATA]],M23*(-1+DAY(FORMULÁRIO!Q$24))/DAY(EOMONTH(TabelaCalculo[[#This Row],[DATA]],0)),0))</f>
        <v/>
      </c>
      <c r="H24" s="45"/>
      <c r="I24" s="62">
        <v>15900</v>
      </c>
      <c r="J24" s="62">
        <v>1415.7672150000001</v>
      </c>
      <c r="K24" s="62">
        <v>15900</v>
      </c>
      <c r="L24" s="80"/>
      <c r="M24" s="91"/>
      <c r="N24" s="46"/>
    </row>
    <row r="25" spans="1:14" x14ac:dyDescent="0.25">
      <c r="A25" s="59">
        <v>24047</v>
      </c>
      <c r="B25" s="62"/>
      <c r="C25" s="46"/>
      <c r="D25" s="45"/>
      <c r="F25" s="45"/>
      <c r="G25" s="69" t="str">
        <f ca="1">IF(L24="","",G24+MAX(0,(1+L24)/ROUND(OFFSET(A25,0,FORMULÁRIO!$E$10-1)/OFFSET(A24,0,FORMULÁRIO!$E$10-1),4)-1)+IF(DATE(YEAR(FORMULÁRIO!Q$22),MONTH(FORMULÁRIO!Q$22),1)=TabelaCalculo[[#This Row],[DATA]],M24*(1-DAY(FORMULÁRIO!Q$22))/DAY(EOMONTH(TabelaCalculo[[#This Row],[DATA]],0)),0)+IF(DATE(YEAR(FORMULÁRIO!Q$24),MONTH(FORMULÁRIO!Q$24),1)=TabelaCalculo[[#This Row],[DATA]],M24*(-1+DAY(FORMULÁRIO!Q$24))/DAY(EOMONTH(TabelaCalculo[[#This Row],[DATA]],0)),0))</f>
        <v/>
      </c>
      <c r="H25" s="45"/>
      <c r="I25" s="62">
        <v>16050</v>
      </c>
      <c r="J25" s="62">
        <v>1429.123509</v>
      </c>
      <c r="K25" s="62">
        <v>16050</v>
      </c>
      <c r="L25" s="80"/>
      <c r="M25" s="91"/>
      <c r="N25" s="46"/>
    </row>
    <row r="26" spans="1:14" x14ac:dyDescent="0.25">
      <c r="A26" s="59">
        <v>24077</v>
      </c>
      <c r="B26" s="62"/>
      <c r="C26" s="46"/>
      <c r="D26" s="45"/>
      <c r="F26" s="45"/>
      <c r="G26" s="69" t="str">
        <f ca="1">IF(L25="","",G25+MAX(0,(1+L25)/ROUND(OFFSET(A26,0,FORMULÁRIO!$E$10-1)/OFFSET(A25,0,FORMULÁRIO!$E$10-1),4)-1)+IF(DATE(YEAR(FORMULÁRIO!Q$22),MONTH(FORMULÁRIO!Q$22),1)=TabelaCalculo[[#This Row],[DATA]],M25*(1-DAY(FORMULÁRIO!Q$22))/DAY(EOMONTH(TabelaCalculo[[#This Row],[DATA]],0)),0)+IF(DATE(YEAR(FORMULÁRIO!Q$24),MONTH(FORMULÁRIO!Q$24),1)=TabelaCalculo[[#This Row],[DATA]],M25*(-1+DAY(FORMULÁRIO!Q$24))/DAY(EOMONTH(TabelaCalculo[[#This Row],[DATA]],0)),0))</f>
        <v/>
      </c>
      <c r="H26" s="45"/>
      <c r="I26" s="62">
        <v>16300</v>
      </c>
      <c r="J26" s="62">
        <v>1451.384</v>
      </c>
      <c r="K26" s="62">
        <v>16300</v>
      </c>
      <c r="L26" s="80"/>
      <c r="M26" s="91"/>
      <c r="N26" s="46"/>
    </row>
    <row r="27" spans="1:14" x14ac:dyDescent="0.25">
      <c r="A27" s="59">
        <v>24108</v>
      </c>
      <c r="B27" s="62"/>
      <c r="C27" s="46"/>
      <c r="D27" s="45"/>
      <c r="F27" s="45"/>
      <c r="G27" s="69" t="str">
        <f ca="1">IF(L26="","",G26+MAX(0,(1+L26)/ROUND(OFFSET(A27,0,FORMULÁRIO!$E$10-1)/OFFSET(A26,0,FORMULÁRIO!$E$10-1),4)-1)+IF(DATE(YEAR(FORMULÁRIO!Q$22),MONTH(FORMULÁRIO!Q$22),1)=TabelaCalculo[[#This Row],[DATA]],M26*(1-DAY(FORMULÁRIO!Q$22))/DAY(EOMONTH(TabelaCalculo[[#This Row],[DATA]],0)),0)+IF(DATE(YEAR(FORMULÁRIO!Q$24),MONTH(FORMULÁRIO!Q$24),1)=TabelaCalculo[[#This Row],[DATA]],M26*(-1+DAY(FORMULÁRIO!Q$24))/DAY(EOMONTH(TabelaCalculo[[#This Row],[DATA]],0)),0))</f>
        <v/>
      </c>
      <c r="H27" s="45"/>
      <c r="I27" s="62">
        <v>16600</v>
      </c>
      <c r="J27" s="62">
        <v>1478.096589</v>
      </c>
      <c r="K27" s="62">
        <v>16600</v>
      </c>
      <c r="L27" s="80"/>
      <c r="M27" s="91"/>
      <c r="N27" s="46"/>
    </row>
    <row r="28" spans="1:14" x14ac:dyDescent="0.25">
      <c r="A28" s="59">
        <v>24139</v>
      </c>
      <c r="B28" s="62"/>
      <c r="C28" s="46"/>
      <c r="D28" s="45"/>
      <c r="F28" s="45"/>
      <c r="G28" s="69" t="str">
        <f ca="1">IF(L27="","",G27+MAX(0,(1+L27)/ROUND(OFFSET(A28,0,FORMULÁRIO!$E$10-1)/OFFSET(A27,0,FORMULÁRIO!$E$10-1),4)-1)+IF(DATE(YEAR(FORMULÁRIO!Q$22),MONTH(FORMULÁRIO!Q$22),1)=TabelaCalculo[[#This Row],[DATA]],M27*(1-DAY(FORMULÁRIO!Q$22))/DAY(EOMONTH(TabelaCalculo[[#This Row],[DATA]],0)),0)+IF(DATE(YEAR(FORMULÁRIO!Q$24),MONTH(FORMULÁRIO!Q$24),1)=TabelaCalculo[[#This Row],[DATA]],M27*(-1+DAY(FORMULÁRIO!Q$24))/DAY(EOMONTH(TabelaCalculo[[#This Row],[DATA]],0)),0))</f>
        <v/>
      </c>
      <c r="H28" s="45"/>
      <c r="I28" s="62">
        <v>17050</v>
      </c>
      <c r="J28" s="62">
        <v>1518.1654719999999</v>
      </c>
      <c r="K28" s="62">
        <v>17050</v>
      </c>
      <c r="L28" s="80"/>
      <c r="M28" s="91"/>
      <c r="N28" s="46"/>
    </row>
    <row r="29" spans="1:14" x14ac:dyDescent="0.25">
      <c r="A29" s="59">
        <v>24167</v>
      </c>
      <c r="B29" s="62"/>
      <c r="C29" s="46"/>
      <c r="D29" s="45"/>
      <c r="F29" s="45"/>
      <c r="G29" s="69" t="str">
        <f ca="1">IF(L28="","",G28+MAX(0,(1+L28)/ROUND(OFFSET(A29,0,FORMULÁRIO!$E$10-1)/OFFSET(A28,0,FORMULÁRIO!$E$10-1),4)-1)+IF(DATE(YEAR(FORMULÁRIO!Q$22),MONTH(FORMULÁRIO!Q$22),1)=TabelaCalculo[[#This Row],[DATA]],M28*(1-DAY(FORMULÁRIO!Q$22))/DAY(EOMONTH(TabelaCalculo[[#This Row],[DATA]],0)),0)+IF(DATE(YEAR(FORMULÁRIO!Q$24),MONTH(FORMULÁRIO!Q$24),1)=TabelaCalculo[[#This Row],[DATA]],M28*(-1+DAY(FORMULÁRIO!Q$24))/DAY(EOMONTH(TabelaCalculo[[#This Row],[DATA]],0)),0))</f>
        <v/>
      </c>
      <c r="H29" s="45"/>
      <c r="I29" s="62">
        <v>17300</v>
      </c>
      <c r="J29" s="62">
        <v>1540.4259629999999</v>
      </c>
      <c r="K29" s="62">
        <v>17300</v>
      </c>
      <c r="L29" s="80"/>
      <c r="M29" s="91"/>
      <c r="N29" s="46"/>
    </row>
    <row r="30" spans="1:14" x14ac:dyDescent="0.25">
      <c r="A30" s="59">
        <v>24198</v>
      </c>
      <c r="B30" s="62"/>
      <c r="C30" s="46"/>
      <c r="D30" s="45"/>
      <c r="F30" s="45"/>
      <c r="G30" s="69" t="str">
        <f ca="1">IF(L29="","",G29+MAX(0,(1+L29)/ROUND(OFFSET(A30,0,FORMULÁRIO!$E$10-1)/OFFSET(A29,0,FORMULÁRIO!$E$10-1),4)-1)+IF(DATE(YEAR(FORMULÁRIO!Q$22),MONTH(FORMULÁRIO!Q$22),1)=TabelaCalculo[[#This Row],[DATA]],M29*(1-DAY(FORMULÁRIO!Q$22))/DAY(EOMONTH(TabelaCalculo[[#This Row],[DATA]],0)),0)+IF(DATE(YEAR(FORMULÁRIO!Q$24),MONTH(FORMULÁRIO!Q$24),1)=TabelaCalculo[[#This Row],[DATA]],M29*(-1+DAY(FORMULÁRIO!Q$24))/DAY(EOMONTH(TabelaCalculo[[#This Row],[DATA]],0)),0))</f>
        <v/>
      </c>
      <c r="H30" s="45"/>
      <c r="I30" s="62">
        <v>17600</v>
      </c>
      <c r="J30" s="62">
        <v>1567.1385519999999</v>
      </c>
      <c r="K30" s="62">
        <v>17600</v>
      </c>
      <c r="L30" s="80"/>
      <c r="M30" s="91"/>
      <c r="N30" s="46"/>
    </row>
    <row r="31" spans="1:14" x14ac:dyDescent="0.25">
      <c r="A31" s="59">
        <v>24228</v>
      </c>
      <c r="B31" s="62"/>
      <c r="C31" s="46"/>
      <c r="D31" s="45"/>
      <c r="F31" s="45"/>
      <c r="G31" s="69" t="str">
        <f ca="1">IF(L30="","",G30+MAX(0,(1+L30)/ROUND(OFFSET(A31,0,FORMULÁRIO!$E$10-1)/OFFSET(A30,0,FORMULÁRIO!$E$10-1),4)-1)+IF(DATE(YEAR(FORMULÁRIO!Q$22),MONTH(FORMULÁRIO!Q$22),1)=TabelaCalculo[[#This Row],[DATA]],M30*(1-DAY(FORMULÁRIO!Q$22))/DAY(EOMONTH(TabelaCalculo[[#This Row],[DATA]],0)),0)+IF(DATE(YEAR(FORMULÁRIO!Q$24),MONTH(FORMULÁRIO!Q$24),1)=TabelaCalculo[[#This Row],[DATA]],M30*(-1+DAY(FORMULÁRIO!Q$24))/DAY(EOMONTH(TabelaCalculo[[#This Row],[DATA]],0)),0))</f>
        <v/>
      </c>
      <c r="H31" s="45"/>
      <c r="I31" s="62">
        <v>18280</v>
      </c>
      <c r="J31" s="62">
        <v>1627.687087</v>
      </c>
      <c r="K31" s="62">
        <v>18280</v>
      </c>
      <c r="L31" s="80"/>
      <c r="M31" s="91"/>
      <c r="N31" s="46"/>
    </row>
    <row r="32" spans="1:14" x14ac:dyDescent="0.25">
      <c r="A32" s="59">
        <v>24259</v>
      </c>
      <c r="B32" s="62"/>
      <c r="C32" s="46"/>
      <c r="D32" s="45"/>
      <c r="F32" s="45"/>
      <c r="G32" s="69" t="str">
        <f ca="1">IF(L31="","",G31+MAX(0,(1+L31)/ROUND(OFFSET(A32,0,FORMULÁRIO!$E$10-1)/OFFSET(A31,0,FORMULÁRIO!$E$10-1),4)-1)+IF(DATE(YEAR(FORMULÁRIO!Q$22),MONTH(FORMULÁRIO!Q$22),1)=TabelaCalculo[[#This Row],[DATA]],M31*(1-DAY(FORMULÁRIO!Q$22))/DAY(EOMONTH(TabelaCalculo[[#This Row],[DATA]],0)),0)+IF(DATE(YEAR(FORMULÁRIO!Q$24),MONTH(FORMULÁRIO!Q$24),1)=TabelaCalculo[[#This Row],[DATA]],M31*(-1+DAY(FORMULÁRIO!Q$24))/DAY(EOMONTH(TabelaCalculo[[#This Row],[DATA]],0)),0))</f>
        <v/>
      </c>
      <c r="H32" s="45"/>
      <c r="I32" s="62">
        <v>19090</v>
      </c>
      <c r="J32" s="62">
        <v>1699.8110770000001</v>
      </c>
      <c r="K32" s="62">
        <v>19090</v>
      </c>
      <c r="L32" s="80"/>
      <c r="M32" s="91"/>
      <c r="N32" s="46"/>
    </row>
    <row r="33" spans="1:14" x14ac:dyDescent="0.25">
      <c r="A33" s="59">
        <v>24289</v>
      </c>
      <c r="B33" s="62"/>
      <c r="C33" s="46"/>
      <c r="D33" s="45"/>
      <c r="F33" s="45"/>
      <c r="G33" s="69" t="str">
        <f ca="1">IF(L32="","",G32+MAX(0,(1+L32)/ROUND(OFFSET(A33,0,FORMULÁRIO!$E$10-1)/OFFSET(A32,0,FORMULÁRIO!$E$10-1),4)-1)+IF(DATE(YEAR(FORMULÁRIO!Q$22),MONTH(FORMULÁRIO!Q$22),1)=TabelaCalculo[[#This Row],[DATA]],M32*(1-DAY(FORMULÁRIO!Q$22))/DAY(EOMONTH(TabelaCalculo[[#This Row],[DATA]],0)),0)+IF(DATE(YEAR(FORMULÁRIO!Q$24),MONTH(FORMULÁRIO!Q$24),1)=TabelaCalculo[[#This Row],[DATA]],M32*(-1+DAY(FORMULÁRIO!Q$24))/DAY(EOMONTH(TabelaCalculo[[#This Row],[DATA]],0)),0))</f>
        <v/>
      </c>
      <c r="H33" s="45"/>
      <c r="I33" s="62">
        <v>19870</v>
      </c>
      <c r="J33" s="62">
        <v>1769.2638079999999</v>
      </c>
      <c r="K33" s="62">
        <v>19870</v>
      </c>
      <c r="L33" s="80"/>
      <c r="M33" s="91"/>
      <c r="N33" s="46"/>
    </row>
    <row r="34" spans="1:14" x14ac:dyDescent="0.25">
      <c r="A34" s="59">
        <v>24320</v>
      </c>
      <c r="B34" s="62"/>
      <c r="C34" s="46"/>
      <c r="D34" s="45"/>
      <c r="F34" s="45"/>
      <c r="G34" s="69" t="str">
        <f ca="1">IF(L33="","",G33+MAX(0,(1+L33)/ROUND(OFFSET(A34,0,FORMULÁRIO!$E$10-1)/OFFSET(A33,0,FORMULÁRIO!$E$10-1),4)-1)+IF(DATE(YEAR(FORMULÁRIO!Q$22),MONTH(FORMULÁRIO!Q$22),1)=TabelaCalculo[[#This Row],[DATA]],M33*(1-DAY(FORMULÁRIO!Q$22))/DAY(EOMONTH(TabelaCalculo[[#This Row],[DATA]],0)),0)+IF(DATE(YEAR(FORMULÁRIO!Q$24),MONTH(FORMULÁRIO!Q$24),1)=TabelaCalculo[[#This Row],[DATA]],M33*(-1+DAY(FORMULÁRIO!Q$24))/DAY(EOMONTH(TabelaCalculo[[#This Row],[DATA]],0)),0))</f>
        <v/>
      </c>
      <c r="H34" s="45"/>
      <c r="I34" s="62">
        <v>20430</v>
      </c>
      <c r="J34" s="62">
        <v>1819.1273080000001</v>
      </c>
      <c r="K34" s="62">
        <v>20430</v>
      </c>
      <c r="L34" s="80"/>
      <c r="M34" s="91"/>
      <c r="N34" s="46"/>
    </row>
    <row r="35" spans="1:14" x14ac:dyDescent="0.25">
      <c r="A35" s="59">
        <v>24351</v>
      </c>
      <c r="B35" s="62"/>
      <c r="C35" s="46"/>
      <c r="D35" s="45"/>
      <c r="F35" s="45"/>
      <c r="G35" s="69" t="str">
        <f ca="1">IF(L34="","",G34+MAX(0,(1+L34)/ROUND(OFFSET(A35,0,FORMULÁRIO!$E$10-1)/OFFSET(A34,0,FORMULÁRIO!$E$10-1),4)-1)+IF(DATE(YEAR(FORMULÁRIO!Q$22),MONTH(FORMULÁRIO!Q$22),1)=TabelaCalculo[[#This Row],[DATA]],M34*(1-DAY(FORMULÁRIO!Q$22))/DAY(EOMONTH(TabelaCalculo[[#This Row],[DATA]],0)),0)+IF(DATE(YEAR(FORMULÁRIO!Q$24),MONTH(FORMULÁRIO!Q$24),1)=TabelaCalculo[[#This Row],[DATA]],M34*(-1+DAY(FORMULÁRIO!Q$24))/DAY(EOMONTH(TabelaCalculo[[#This Row],[DATA]],0)),0))</f>
        <v/>
      </c>
      <c r="H35" s="45"/>
      <c r="I35" s="62">
        <v>21010</v>
      </c>
      <c r="J35" s="62">
        <v>1870.7716459999999</v>
      </c>
      <c r="K35" s="62">
        <v>21010</v>
      </c>
      <c r="L35" s="80"/>
      <c r="M35" s="91"/>
      <c r="N35" s="46"/>
    </row>
    <row r="36" spans="1:14" x14ac:dyDescent="0.25">
      <c r="A36" s="59">
        <v>24381</v>
      </c>
      <c r="B36" s="62"/>
      <c r="C36" s="46"/>
      <c r="D36" s="45"/>
      <c r="F36" s="45"/>
      <c r="G36" s="69" t="str">
        <f ca="1">IF(L35="","",G35+MAX(0,(1+L35)/ROUND(OFFSET(A36,0,FORMULÁRIO!$E$10-1)/OFFSET(A35,0,FORMULÁRIO!$E$10-1),4)-1)+IF(DATE(YEAR(FORMULÁRIO!Q$22),MONTH(FORMULÁRIO!Q$22),1)=TabelaCalculo[[#This Row],[DATA]],M35*(1-DAY(FORMULÁRIO!Q$22))/DAY(EOMONTH(TabelaCalculo[[#This Row],[DATA]],0)),0)+IF(DATE(YEAR(FORMULÁRIO!Q$24),MONTH(FORMULÁRIO!Q$24),1)=TabelaCalculo[[#This Row],[DATA]],M35*(-1+DAY(FORMULÁRIO!Q$24))/DAY(EOMONTH(TabelaCalculo[[#This Row],[DATA]],0)),0))</f>
        <v/>
      </c>
      <c r="H36" s="45"/>
      <c r="I36" s="62">
        <v>21610</v>
      </c>
      <c r="J36" s="62">
        <v>1924.1968240000001</v>
      </c>
      <c r="K36" s="62">
        <v>21610</v>
      </c>
      <c r="L36" s="80"/>
      <c r="M36" s="91"/>
      <c r="N36" s="46"/>
    </row>
    <row r="37" spans="1:14" x14ac:dyDescent="0.25">
      <c r="A37" s="59">
        <v>24412</v>
      </c>
      <c r="B37" s="62"/>
      <c r="C37" s="46"/>
      <c r="D37" s="45"/>
      <c r="F37" s="45"/>
      <c r="G37" s="69" t="str">
        <f ca="1">IF(L36="","",G36+MAX(0,(1+L36)/ROUND(OFFSET(A37,0,FORMULÁRIO!$E$10-1)/OFFSET(A36,0,FORMULÁRIO!$E$10-1),4)-1)+IF(DATE(YEAR(FORMULÁRIO!Q$22),MONTH(FORMULÁRIO!Q$22),1)=TabelaCalculo[[#This Row],[DATA]],M36*(1-DAY(FORMULÁRIO!Q$22))/DAY(EOMONTH(TabelaCalculo[[#This Row],[DATA]],0)),0)+IF(DATE(YEAR(FORMULÁRIO!Q$24),MONTH(FORMULÁRIO!Q$24),1)=TabelaCalculo[[#This Row],[DATA]],M36*(-1+DAY(FORMULÁRIO!Q$24))/DAY(EOMONTH(TabelaCalculo[[#This Row],[DATA]],0)),0))</f>
        <v/>
      </c>
      <c r="H37" s="45"/>
      <c r="I37" s="62">
        <v>22180</v>
      </c>
      <c r="J37" s="62">
        <v>1974.9507430000001</v>
      </c>
      <c r="K37" s="62">
        <v>22180</v>
      </c>
      <c r="L37" s="80"/>
      <c r="M37" s="91"/>
      <c r="N37" s="46"/>
    </row>
    <row r="38" spans="1:14" x14ac:dyDescent="0.25">
      <c r="A38" s="59">
        <v>24442</v>
      </c>
      <c r="B38" s="62"/>
      <c r="C38" s="46"/>
      <c r="D38" s="45"/>
      <c r="F38" s="45"/>
      <c r="G38" s="69" t="str">
        <f ca="1">IF(L37="","",G37+MAX(0,(1+L37)/ROUND(OFFSET(A38,0,FORMULÁRIO!$E$10-1)/OFFSET(A37,0,FORMULÁRIO!$E$10-1),4)-1)+IF(DATE(YEAR(FORMULÁRIO!Q$22),MONTH(FORMULÁRIO!Q$22),1)=TabelaCalculo[[#This Row],[DATA]],M37*(1-DAY(FORMULÁRIO!Q$22))/DAY(EOMONTH(TabelaCalculo[[#This Row],[DATA]],0)),0)+IF(DATE(YEAR(FORMULÁRIO!Q$24),MONTH(FORMULÁRIO!Q$24),1)=TabelaCalculo[[#This Row],[DATA]],M37*(-1+DAY(FORMULÁRIO!Q$24))/DAY(EOMONTH(TabelaCalculo[[#This Row],[DATA]],0)),0))</f>
        <v/>
      </c>
      <c r="H38" s="45"/>
      <c r="I38" s="62">
        <v>22690</v>
      </c>
      <c r="J38" s="62">
        <v>2020.3621450000001</v>
      </c>
      <c r="K38" s="62">
        <v>22690</v>
      </c>
      <c r="L38" s="80"/>
      <c r="M38" s="91"/>
      <c r="N38" s="46"/>
    </row>
    <row r="39" spans="1:14" x14ac:dyDescent="0.25">
      <c r="A39" s="59">
        <v>24473</v>
      </c>
      <c r="B39" s="62"/>
      <c r="C39" s="46"/>
      <c r="D39" s="45"/>
      <c r="F39" s="45"/>
      <c r="G39" s="69" t="str">
        <f ca="1">IF(L38="","",G38+MAX(0,(1+L38)/ROUND(OFFSET(A39,0,FORMULÁRIO!$E$10-1)/OFFSET(A38,0,FORMULÁRIO!$E$10-1),4)-1)+IF(DATE(YEAR(FORMULÁRIO!Q$22),MONTH(FORMULÁRIO!Q$22),1)=TabelaCalculo[[#This Row],[DATA]],M38*(1-DAY(FORMULÁRIO!Q$22))/DAY(EOMONTH(TabelaCalculo[[#This Row],[DATA]],0)),0)+IF(DATE(YEAR(FORMULÁRIO!Q$24),MONTH(FORMULÁRIO!Q$24),1)=TabelaCalculo[[#This Row],[DATA]],M38*(-1+DAY(FORMULÁRIO!Q$24))/DAY(EOMONTH(TabelaCalculo[[#This Row],[DATA]],0)),0))</f>
        <v/>
      </c>
      <c r="H39" s="45"/>
      <c r="I39" s="62">
        <v>23230</v>
      </c>
      <c r="J39" s="62">
        <v>2068.4448050000001</v>
      </c>
      <c r="K39" s="62">
        <v>23230</v>
      </c>
      <c r="L39" s="80"/>
      <c r="M39" s="91"/>
      <c r="N39" s="46"/>
    </row>
    <row r="40" spans="1:14" x14ac:dyDescent="0.25">
      <c r="A40" s="59">
        <v>24504</v>
      </c>
      <c r="B40" s="62"/>
      <c r="C40" s="45"/>
      <c r="D40" s="45"/>
      <c r="F40" s="45"/>
      <c r="G40" s="69" t="str">
        <f ca="1">IF(L39="","",G39+MAX(0,(1+L39)/ROUND(OFFSET(A40,0,FORMULÁRIO!$E$10-1)/OFFSET(A39,0,FORMULÁRIO!$E$10-1),4)-1)+IF(DATE(YEAR(FORMULÁRIO!Q$22),MONTH(FORMULÁRIO!Q$22),1)=TabelaCalculo[[#This Row],[DATA]],M39*(1-DAY(FORMULÁRIO!Q$22))/DAY(EOMONTH(TabelaCalculo[[#This Row],[DATA]],0)),0)+IF(DATE(YEAR(FORMULÁRIO!Q$24),MONTH(FORMULÁRIO!Q$24),1)=TabelaCalculo[[#This Row],[DATA]],M39*(-1+DAY(FORMULÁRIO!Q$24))/DAY(EOMONTH(TabelaCalculo[[#This Row],[DATA]],0)),0))</f>
        <v/>
      </c>
      <c r="H40" s="45"/>
      <c r="I40" s="62">
        <v>23.78</v>
      </c>
      <c r="J40" s="62">
        <v>2.1174179999999998</v>
      </c>
      <c r="K40" s="62">
        <v>23.78</v>
      </c>
      <c r="L40" s="80"/>
      <c r="M40" s="91"/>
      <c r="N40" s="46"/>
    </row>
    <row r="41" spans="1:14" x14ac:dyDescent="0.25">
      <c r="A41" s="59">
        <v>24532</v>
      </c>
      <c r="B41" s="62"/>
      <c r="C41" s="45"/>
      <c r="D41" s="45"/>
      <c r="F41" s="45"/>
      <c r="G41" s="69" t="str">
        <f ca="1">IF(L40="","",G40+MAX(0,(1+L40)/ROUND(OFFSET(A41,0,FORMULÁRIO!$E$10-1)/OFFSET(A40,0,FORMULÁRIO!$E$10-1),4)-1)+IF(DATE(YEAR(FORMULÁRIO!Q$22),MONTH(FORMULÁRIO!Q$22),1)=TabelaCalculo[[#This Row],[DATA]],M40*(1-DAY(FORMULÁRIO!Q$22))/DAY(EOMONTH(TabelaCalculo[[#This Row],[DATA]],0)),0)+IF(DATE(YEAR(FORMULÁRIO!Q$24),MONTH(FORMULÁRIO!Q$24),1)=TabelaCalculo[[#This Row],[DATA]],M40*(-1+DAY(FORMULÁRIO!Q$24))/DAY(EOMONTH(TabelaCalculo[[#This Row],[DATA]],0)),0))</f>
        <v/>
      </c>
      <c r="H41" s="45"/>
      <c r="I41" s="62">
        <v>24.28</v>
      </c>
      <c r="J41" s="62">
        <v>2.1619389999999998</v>
      </c>
      <c r="K41" s="62">
        <v>24.28</v>
      </c>
      <c r="L41" s="80"/>
      <c r="M41" s="91"/>
      <c r="N41" s="46"/>
    </row>
    <row r="42" spans="1:14" x14ac:dyDescent="0.25">
      <c r="A42" s="59">
        <v>24563</v>
      </c>
      <c r="B42" s="62"/>
      <c r="C42" s="45"/>
      <c r="D42" s="45"/>
      <c r="F42" s="45"/>
      <c r="G42" s="69" t="str">
        <f ca="1">IF(L41="","",G41+MAX(0,(1+L41)/ROUND(OFFSET(A42,0,FORMULÁRIO!$E$10-1)/OFFSET(A41,0,FORMULÁRIO!$E$10-1),4)-1)+IF(DATE(YEAR(FORMULÁRIO!Q$22),MONTH(FORMULÁRIO!Q$22),1)=TabelaCalculo[[#This Row],[DATA]],M41*(1-DAY(FORMULÁRIO!Q$22))/DAY(EOMONTH(TabelaCalculo[[#This Row],[DATA]],0)),0)+IF(DATE(YEAR(FORMULÁRIO!Q$24),MONTH(FORMULÁRIO!Q$24),1)=TabelaCalculo[[#This Row],[DATA]],M41*(-1+DAY(FORMULÁRIO!Q$24))/DAY(EOMONTH(TabelaCalculo[[#This Row],[DATA]],0)),0))</f>
        <v/>
      </c>
      <c r="H42" s="45"/>
      <c r="I42" s="62">
        <v>24.64</v>
      </c>
      <c r="J42" s="62">
        <v>2.193994</v>
      </c>
      <c r="K42" s="62">
        <v>24.64</v>
      </c>
      <c r="L42" s="80"/>
      <c r="M42" s="91"/>
      <c r="N42" s="46"/>
    </row>
    <row r="43" spans="1:14" x14ac:dyDescent="0.25">
      <c r="A43" s="59">
        <v>24593</v>
      </c>
      <c r="B43" s="62"/>
      <c r="C43" s="45"/>
      <c r="D43" s="45"/>
      <c r="F43" s="45"/>
      <c r="G43" s="69" t="str">
        <f ca="1">IF(L42="","",G42+MAX(0,(1+L42)/ROUND(OFFSET(A43,0,FORMULÁRIO!$E$10-1)/OFFSET(A42,0,FORMULÁRIO!$E$10-1),4)-1)+IF(DATE(YEAR(FORMULÁRIO!Q$22),MONTH(FORMULÁRIO!Q$22),1)=TabelaCalculo[[#This Row],[DATA]],M42*(1-DAY(FORMULÁRIO!Q$22))/DAY(EOMONTH(TabelaCalculo[[#This Row],[DATA]],0)),0)+IF(DATE(YEAR(FORMULÁRIO!Q$24),MONTH(FORMULÁRIO!Q$24),1)=TabelaCalculo[[#This Row],[DATA]],M42*(-1+DAY(FORMULÁRIO!Q$24))/DAY(EOMONTH(TabelaCalculo[[#This Row],[DATA]],0)),0))</f>
        <v/>
      </c>
      <c r="H43" s="45"/>
      <c r="I43" s="62">
        <v>25.01</v>
      </c>
      <c r="J43" s="62">
        <v>2.2269389999999998</v>
      </c>
      <c r="K43" s="62">
        <v>25.01</v>
      </c>
      <c r="L43" s="80"/>
      <c r="M43" s="91"/>
      <c r="N43" s="46"/>
    </row>
    <row r="44" spans="1:14" x14ac:dyDescent="0.25">
      <c r="A44" s="59">
        <v>24624</v>
      </c>
      <c r="B44" s="62"/>
      <c r="C44" s="45"/>
      <c r="D44" s="45"/>
      <c r="F44" s="45"/>
      <c r="G44" s="69" t="str">
        <f ca="1">IF(L43="","",G43+MAX(0,(1+L43)/ROUND(OFFSET(A44,0,FORMULÁRIO!$E$10-1)/OFFSET(A43,0,FORMULÁRIO!$E$10-1),4)-1)+IF(DATE(YEAR(FORMULÁRIO!Q$22),MONTH(FORMULÁRIO!Q$22),1)=TabelaCalculo[[#This Row],[DATA]],M43*(1-DAY(FORMULÁRIO!Q$22))/DAY(EOMONTH(TabelaCalculo[[#This Row],[DATA]],0)),0)+IF(DATE(YEAR(FORMULÁRIO!Q$24),MONTH(FORMULÁRIO!Q$24),1)=TabelaCalculo[[#This Row],[DATA]],M43*(-1+DAY(FORMULÁRIO!Q$24))/DAY(EOMONTH(TabelaCalculo[[#This Row],[DATA]],0)),0))</f>
        <v/>
      </c>
      <c r="H44" s="45"/>
      <c r="I44" s="62">
        <v>25.46</v>
      </c>
      <c r="J44" s="62">
        <v>2.2670080000000001</v>
      </c>
      <c r="K44" s="62">
        <v>25.46</v>
      </c>
      <c r="L44" s="80"/>
      <c r="M44" s="91"/>
      <c r="N44" s="46"/>
    </row>
    <row r="45" spans="1:14" x14ac:dyDescent="0.25">
      <c r="A45" s="59">
        <v>24654</v>
      </c>
      <c r="B45" s="62"/>
      <c r="C45" s="45"/>
      <c r="D45" s="45"/>
      <c r="F45" s="45"/>
      <c r="G45" s="69" t="str">
        <f ca="1">IF(L44="","",G44+MAX(0,(1+L44)/ROUND(OFFSET(A45,0,FORMULÁRIO!$E$10-1)/OFFSET(A44,0,FORMULÁRIO!$E$10-1),4)-1)+IF(DATE(YEAR(FORMULÁRIO!Q$22),MONTH(FORMULÁRIO!Q$22),1)=TabelaCalculo[[#This Row],[DATA]],M44*(1-DAY(FORMULÁRIO!Q$22))/DAY(EOMONTH(TabelaCalculo[[#This Row],[DATA]],0)),0)+IF(DATE(YEAR(FORMULÁRIO!Q$24),MONTH(FORMULÁRIO!Q$24),1)=TabelaCalculo[[#This Row],[DATA]],M44*(-1+DAY(FORMULÁRIO!Q$24))/DAY(EOMONTH(TabelaCalculo[[#This Row],[DATA]],0)),0))</f>
        <v/>
      </c>
      <c r="H45" s="45"/>
      <c r="I45" s="62">
        <v>26.18</v>
      </c>
      <c r="J45" s="62">
        <v>2.3311190000000002</v>
      </c>
      <c r="K45" s="62">
        <v>26.18</v>
      </c>
      <c r="L45" s="80"/>
      <c r="M45" s="91"/>
      <c r="N45" s="46"/>
    </row>
    <row r="46" spans="1:14" x14ac:dyDescent="0.25">
      <c r="A46" s="59">
        <v>24685</v>
      </c>
      <c r="B46" s="62"/>
      <c r="C46" s="45"/>
      <c r="D46" s="45"/>
      <c r="F46" s="45"/>
      <c r="G46" s="69" t="str">
        <f ca="1">IF(L45="","",G45+MAX(0,(1+L45)/ROUND(OFFSET(A46,0,FORMULÁRIO!$E$10-1)/OFFSET(A45,0,FORMULÁRIO!$E$10-1),4)-1)+IF(DATE(YEAR(FORMULÁRIO!Q$22),MONTH(FORMULÁRIO!Q$22),1)=TabelaCalculo[[#This Row],[DATA]],M45*(1-DAY(FORMULÁRIO!Q$22))/DAY(EOMONTH(TabelaCalculo[[#This Row],[DATA]],0)),0)+IF(DATE(YEAR(FORMULÁRIO!Q$24),MONTH(FORMULÁRIO!Q$24),1)=TabelaCalculo[[#This Row],[DATA]],M45*(-1+DAY(FORMULÁRIO!Q$24))/DAY(EOMONTH(TabelaCalculo[[#This Row],[DATA]],0)),0))</f>
        <v/>
      </c>
      <c r="H46" s="45"/>
      <c r="I46" s="62">
        <v>26.84</v>
      </c>
      <c r="J46" s="62">
        <v>2.3898860000000002</v>
      </c>
      <c r="K46" s="62">
        <v>26.84</v>
      </c>
      <c r="L46" s="80"/>
      <c r="M46" s="91"/>
      <c r="N46" s="46"/>
    </row>
    <row r="47" spans="1:14" x14ac:dyDescent="0.25">
      <c r="A47" s="59">
        <v>24716</v>
      </c>
      <c r="B47" s="62"/>
      <c r="C47" s="45"/>
      <c r="D47" s="45"/>
      <c r="F47" s="45"/>
      <c r="G47" s="69" t="str">
        <f ca="1">IF(L46="","",G46+MAX(0,(1+L46)/ROUND(OFFSET(A47,0,FORMULÁRIO!$E$10-1)/OFFSET(A46,0,FORMULÁRIO!$E$10-1),4)-1)+IF(DATE(YEAR(FORMULÁRIO!Q$22),MONTH(FORMULÁRIO!Q$22),1)=TabelaCalculo[[#This Row],[DATA]],M46*(1-DAY(FORMULÁRIO!Q$22))/DAY(EOMONTH(TabelaCalculo[[#This Row],[DATA]],0)),0)+IF(DATE(YEAR(FORMULÁRIO!Q$24),MONTH(FORMULÁRIO!Q$24),1)=TabelaCalculo[[#This Row],[DATA]],M46*(-1+DAY(FORMULÁRIO!Q$24))/DAY(EOMONTH(TabelaCalculo[[#This Row],[DATA]],0)),0))</f>
        <v/>
      </c>
      <c r="H47" s="45"/>
      <c r="I47" s="62">
        <v>27.25</v>
      </c>
      <c r="J47" s="62">
        <v>2.426393</v>
      </c>
      <c r="K47" s="62">
        <v>27.25</v>
      </c>
      <c r="L47" s="80"/>
      <c r="M47" s="91"/>
      <c r="N47" s="46"/>
    </row>
    <row r="48" spans="1:14" x14ac:dyDescent="0.25">
      <c r="A48" s="59">
        <v>24746</v>
      </c>
      <c r="B48" s="62"/>
      <c r="C48" s="45"/>
      <c r="D48" s="45"/>
      <c r="F48" s="45"/>
      <c r="G48" s="69" t="str">
        <f ca="1">IF(L47="","",G47+MAX(0,(1+L47)/ROUND(OFFSET(A48,0,FORMULÁRIO!$E$10-1)/OFFSET(A47,0,FORMULÁRIO!$E$10-1),4)-1)+IF(DATE(YEAR(FORMULÁRIO!Q$22),MONTH(FORMULÁRIO!Q$22),1)=TabelaCalculo[[#This Row],[DATA]],M47*(1-DAY(FORMULÁRIO!Q$22))/DAY(EOMONTH(TabelaCalculo[[#This Row],[DATA]],0)),0)+IF(DATE(YEAR(FORMULÁRIO!Q$24),MONTH(FORMULÁRIO!Q$24),1)=TabelaCalculo[[#This Row],[DATA]],M47*(-1+DAY(FORMULÁRIO!Q$24))/DAY(EOMONTH(TabelaCalculo[[#This Row],[DATA]],0)),0))</f>
        <v/>
      </c>
      <c r="H48" s="45"/>
      <c r="I48" s="62">
        <v>27.38</v>
      </c>
      <c r="J48" s="62">
        <v>2.4379689999999998</v>
      </c>
      <c r="K48" s="62">
        <v>27.38</v>
      </c>
      <c r="L48" s="80"/>
      <c r="M48" s="91"/>
      <c r="N48" s="46"/>
    </row>
    <row r="49" spans="1:14" x14ac:dyDescent="0.25">
      <c r="A49" s="59">
        <v>24777</v>
      </c>
      <c r="B49" s="62"/>
      <c r="C49" s="45"/>
      <c r="D49" s="45"/>
      <c r="F49" s="45"/>
      <c r="G49" s="69" t="str">
        <f ca="1">IF(L48="","",G48+MAX(0,(1+L48)/ROUND(OFFSET(A49,0,FORMULÁRIO!$E$10-1)/OFFSET(A48,0,FORMULÁRIO!$E$10-1),4)-1)+IF(DATE(YEAR(FORMULÁRIO!Q$22),MONTH(FORMULÁRIO!Q$22),1)=TabelaCalculo[[#This Row],[DATA]],M48*(1-DAY(FORMULÁRIO!Q$22))/DAY(EOMONTH(TabelaCalculo[[#This Row],[DATA]],0)),0)+IF(DATE(YEAR(FORMULÁRIO!Q$24),MONTH(FORMULÁRIO!Q$24),1)=TabelaCalculo[[#This Row],[DATA]],M48*(-1+DAY(FORMULÁRIO!Q$24))/DAY(EOMONTH(TabelaCalculo[[#This Row],[DATA]],0)),0))</f>
        <v/>
      </c>
      <c r="H49" s="45"/>
      <c r="I49" s="62">
        <v>27.57</v>
      </c>
      <c r="J49" s="62">
        <v>2.4548869999999998</v>
      </c>
      <c r="K49" s="62">
        <v>27.57</v>
      </c>
      <c r="L49" s="80"/>
      <c r="M49" s="91"/>
      <c r="N49" s="46"/>
    </row>
    <row r="50" spans="1:14" x14ac:dyDescent="0.25">
      <c r="A50" s="59">
        <v>24807</v>
      </c>
      <c r="B50" s="62"/>
      <c r="C50" s="45"/>
      <c r="D50" s="45"/>
      <c r="F50" s="45"/>
      <c r="G50" s="69" t="str">
        <f ca="1">IF(L49="","",G49+MAX(0,(1+L49)/ROUND(OFFSET(A50,0,FORMULÁRIO!$E$10-1)/OFFSET(A49,0,FORMULÁRIO!$E$10-1),4)-1)+IF(DATE(YEAR(FORMULÁRIO!Q$22),MONTH(FORMULÁRIO!Q$22),1)=TabelaCalculo[[#This Row],[DATA]],M49*(1-DAY(FORMULÁRIO!Q$22))/DAY(EOMONTH(TabelaCalculo[[#This Row],[DATA]],0)),0)+IF(DATE(YEAR(FORMULÁRIO!Q$24),MONTH(FORMULÁRIO!Q$24),1)=TabelaCalculo[[#This Row],[DATA]],M49*(-1+DAY(FORMULÁRIO!Q$24))/DAY(EOMONTH(TabelaCalculo[[#This Row],[DATA]],0)),0))</f>
        <v/>
      </c>
      <c r="H50" s="45"/>
      <c r="I50" s="62">
        <v>27.96</v>
      </c>
      <c r="J50" s="62">
        <v>2.4896129999999999</v>
      </c>
      <c r="K50" s="62">
        <v>27.96</v>
      </c>
      <c r="L50" s="80"/>
      <c r="M50" s="91"/>
      <c r="N50" s="46"/>
    </row>
    <row r="51" spans="1:14" x14ac:dyDescent="0.25">
      <c r="A51" s="59">
        <v>24838</v>
      </c>
      <c r="B51" s="62"/>
      <c r="C51" s="45"/>
      <c r="D51" s="45"/>
      <c r="F51" s="45"/>
      <c r="G51" s="69" t="str">
        <f ca="1">IF(L50="","",G50+MAX(0,(1+L50)/ROUND(OFFSET(A51,0,FORMULÁRIO!$E$10-1)/OFFSET(A50,0,FORMULÁRIO!$E$10-1),4)-1)+IF(DATE(YEAR(FORMULÁRIO!Q$22),MONTH(FORMULÁRIO!Q$22),1)=TabelaCalculo[[#This Row],[DATA]],M50*(1-DAY(FORMULÁRIO!Q$22))/DAY(EOMONTH(TabelaCalculo[[#This Row],[DATA]],0)),0)+IF(DATE(YEAR(FORMULÁRIO!Q$24),MONTH(FORMULÁRIO!Q$24),1)=TabelaCalculo[[#This Row],[DATA]],M50*(-1+DAY(FORMULÁRIO!Q$24))/DAY(EOMONTH(TabelaCalculo[[#This Row],[DATA]],0)),0))</f>
        <v/>
      </c>
      <c r="H51" s="45"/>
      <c r="I51" s="62">
        <v>28.48</v>
      </c>
      <c r="J51" s="62">
        <v>2.5359150000000001</v>
      </c>
      <c r="K51" s="62">
        <v>28.48</v>
      </c>
      <c r="L51" s="80"/>
      <c r="M51" s="91"/>
      <c r="N51" s="46"/>
    </row>
    <row r="52" spans="1:14" x14ac:dyDescent="0.25">
      <c r="A52" s="59">
        <v>24869</v>
      </c>
      <c r="B52" s="62"/>
      <c r="C52" s="45"/>
      <c r="D52" s="45"/>
      <c r="F52" s="45"/>
      <c r="G52" s="69" t="str">
        <f ca="1">IF(L51="","",G51+MAX(0,(1+L51)/ROUND(OFFSET(A52,0,FORMULÁRIO!$E$10-1)/OFFSET(A51,0,FORMULÁRIO!$E$10-1),4)-1)+IF(DATE(YEAR(FORMULÁRIO!Q$22),MONTH(FORMULÁRIO!Q$22),1)=TabelaCalculo[[#This Row],[DATA]],M51*(1-DAY(FORMULÁRIO!Q$22))/DAY(EOMONTH(TabelaCalculo[[#This Row],[DATA]],0)),0)+IF(DATE(YEAR(FORMULÁRIO!Q$24),MONTH(FORMULÁRIO!Q$24),1)=TabelaCalculo[[#This Row],[DATA]],M51*(-1+DAY(FORMULÁRIO!Q$24))/DAY(EOMONTH(TabelaCalculo[[#This Row],[DATA]],0)),0))</f>
        <v/>
      </c>
      <c r="H52" s="45"/>
      <c r="I52" s="62">
        <v>28.98</v>
      </c>
      <c r="J52" s="62">
        <v>2.5804360000000002</v>
      </c>
      <c r="K52" s="62">
        <v>28.98</v>
      </c>
      <c r="L52" s="80"/>
      <c r="M52" s="91"/>
      <c r="N52" s="46"/>
    </row>
    <row r="53" spans="1:14" x14ac:dyDescent="0.25">
      <c r="A53" s="59">
        <v>24898</v>
      </c>
      <c r="B53" s="62"/>
      <c r="C53" s="45"/>
      <c r="D53" s="45"/>
      <c r="F53" s="45"/>
      <c r="G53" s="69" t="str">
        <f ca="1">IF(L52="","",G52+MAX(0,(1+L52)/ROUND(OFFSET(A53,0,FORMULÁRIO!$E$10-1)/OFFSET(A52,0,FORMULÁRIO!$E$10-1),4)-1)+IF(DATE(YEAR(FORMULÁRIO!Q$22),MONTH(FORMULÁRIO!Q$22),1)=TabelaCalculo[[#This Row],[DATA]],M52*(1-DAY(FORMULÁRIO!Q$22))/DAY(EOMONTH(TabelaCalculo[[#This Row],[DATA]],0)),0)+IF(DATE(YEAR(FORMULÁRIO!Q$24),MONTH(FORMULÁRIO!Q$24),1)=TabelaCalculo[[#This Row],[DATA]],M52*(-1+DAY(FORMULÁRIO!Q$24))/DAY(EOMONTH(TabelaCalculo[[#This Row],[DATA]],0)),0))</f>
        <v/>
      </c>
      <c r="H53" s="45"/>
      <c r="I53" s="62">
        <v>29.4</v>
      </c>
      <c r="J53" s="62">
        <v>2.6178340000000002</v>
      </c>
      <c r="K53" s="62">
        <v>29.4</v>
      </c>
      <c r="L53" s="80"/>
      <c r="M53" s="91"/>
      <c r="N53" s="46"/>
    </row>
    <row r="54" spans="1:14" x14ac:dyDescent="0.25">
      <c r="A54" s="59">
        <v>24929</v>
      </c>
      <c r="B54" s="62"/>
      <c r="C54" s="45"/>
      <c r="D54" s="45"/>
      <c r="F54" s="45"/>
      <c r="G54" s="69" t="str">
        <f ca="1">IF(L53="","",G53+MAX(0,(1+L53)/ROUND(OFFSET(A54,0,FORMULÁRIO!$E$10-1)/OFFSET(A53,0,FORMULÁRIO!$E$10-1),4)-1)+IF(DATE(YEAR(FORMULÁRIO!Q$22),MONTH(FORMULÁRIO!Q$22),1)=TabelaCalculo[[#This Row],[DATA]],M53*(1-DAY(FORMULÁRIO!Q$22))/DAY(EOMONTH(TabelaCalculo[[#This Row],[DATA]],0)),0)+IF(DATE(YEAR(FORMULÁRIO!Q$24),MONTH(FORMULÁRIO!Q$24),1)=TabelaCalculo[[#This Row],[DATA]],M53*(-1+DAY(FORMULÁRIO!Q$24))/DAY(EOMONTH(TabelaCalculo[[#This Row],[DATA]],0)),0))</f>
        <v/>
      </c>
      <c r="H54" s="45"/>
      <c r="I54" s="62">
        <v>29.83</v>
      </c>
      <c r="J54" s="62">
        <v>2.6561219999999999</v>
      </c>
      <c r="K54" s="62">
        <v>29.83</v>
      </c>
      <c r="L54" s="80"/>
      <c r="M54" s="91"/>
      <c r="N54" s="46"/>
    </row>
    <row r="55" spans="1:14" x14ac:dyDescent="0.25">
      <c r="A55" s="59">
        <v>24959</v>
      </c>
      <c r="B55" s="62"/>
      <c r="C55" s="45"/>
      <c r="D55" s="45"/>
      <c r="F55" s="45"/>
      <c r="G55" s="69" t="str">
        <f ca="1">IF(L54="","",G54+MAX(0,(1+L54)/ROUND(OFFSET(A55,0,FORMULÁRIO!$E$10-1)/OFFSET(A54,0,FORMULÁRIO!$E$10-1),4)-1)+IF(DATE(YEAR(FORMULÁRIO!Q$22),MONTH(FORMULÁRIO!Q$22),1)=TabelaCalculo[[#This Row],[DATA]],M54*(1-DAY(FORMULÁRIO!Q$22))/DAY(EOMONTH(TabelaCalculo[[#This Row],[DATA]],0)),0)+IF(DATE(YEAR(FORMULÁRIO!Q$24),MONTH(FORMULÁRIO!Q$24),1)=TabelaCalculo[[#This Row],[DATA]],M54*(-1+DAY(FORMULÁRIO!Q$24))/DAY(EOMONTH(TabelaCalculo[[#This Row],[DATA]],0)),0))</f>
        <v/>
      </c>
      <c r="H55" s="45"/>
      <c r="I55" s="62">
        <v>30.39</v>
      </c>
      <c r="J55" s="62">
        <v>2.7059850000000001</v>
      </c>
      <c r="K55" s="62">
        <v>30.39</v>
      </c>
      <c r="L55" s="80"/>
      <c r="M55" s="91"/>
      <c r="N55" s="46"/>
    </row>
    <row r="56" spans="1:14" x14ac:dyDescent="0.25">
      <c r="A56" s="59">
        <v>24990</v>
      </c>
      <c r="B56" s="62"/>
      <c r="C56" s="45"/>
      <c r="D56" s="45"/>
      <c r="F56" s="45"/>
      <c r="G56" s="69" t="str">
        <f ca="1">IF(L55="","",G55+MAX(0,(1+L55)/ROUND(OFFSET(A56,0,FORMULÁRIO!$E$10-1)/OFFSET(A55,0,FORMULÁRIO!$E$10-1),4)-1)+IF(DATE(YEAR(FORMULÁRIO!Q$22),MONTH(FORMULÁRIO!Q$22),1)=TabelaCalculo[[#This Row],[DATA]],M55*(1-DAY(FORMULÁRIO!Q$22))/DAY(EOMONTH(TabelaCalculo[[#This Row],[DATA]],0)),0)+IF(DATE(YEAR(FORMULÁRIO!Q$24),MONTH(FORMULÁRIO!Q$24),1)=TabelaCalculo[[#This Row],[DATA]],M55*(-1+DAY(FORMULÁRIO!Q$24))/DAY(EOMONTH(TabelaCalculo[[#This Row],[DATA]],0)),0))</f>
        <v/>
      </c>
      <c r="H56" s="45"/>
      <c r="I56" s="62">
        <v>31.2</v>
      </c>
      <c r="J56" s="62">
        <v>2.7781090000000002</v>
      </c>
      <c r="K56" s="62">
        <v>31.2</v>
      </c>
      <c r="L56" s="80"/>
      <c r="M56" s="91"/>
      <c r="N56" s="46"/>
    </row>
    <row r="57" spans="1:14" x14ac:dyDescent="0.25">
      <c r="A57" s="59">
        <v>25020</v>
      </c>
      <c r="B57" s="62"/>
      <c r="C57" s="45"/>
      <c r="D57" s="45"/>
      <c r="F57" s="45"/>
      <c r="G57" s="69" t="str">
        <f ca="1">IF(L56="","",G56+MAX(0,(1+L56)/ROUND(OFFSET(A57,0,FORMULÁRIO!$E$10-1)/OFFSET(A56,0,FORMULÁRIO!$E$10-1),4)-1)+IF(DATE(YEAR(FORMULÁRIO!Q$22),MONTH(FORMULÁRIO!Q$22),1)=TabelaCalculo[[#This Row],[DATA]],M56*(1-DAY(FORMULÁRIO!Q$22))/DAY(EOMONTH(TabelaCalculo[[#This Row],[DATA]],0)),0)+IF(DATE(YEAR(FORMULÁRIO!Q$24),MONTH(FORMULÁRIO!Q$24),1)=TabelaCalculo[[#This Row],[DATA]],M56*(-1+DAY(FORMULÁRIO!Q$24))/DAY(EOMONTH(TabelaCalculo[[#This Row],[DATA]],0)),0))</f>
        <v/>
      </c>
      <c r="H57" s="45"/>
      <c r="I57" s="62">
        <v>32.090000000000003</v>
      </c>
      <c r="J57" s="62">
        <v>2.8573569999999999</v>
      </c>
      <c r="K57" s="62">
        <v>32.090000000000003</v>
      </c>
      <c r="L57" s="80"/>
      <c r="M57" s="91"/>
      <c r="N57" s="46"/>
    </row>
    <row r="58" spans="1:14" x14ac:dyDescent="0.25">
      <c r="A58" s="59">
        <v>25051</v>
      </c>
      <c r="B58" s="62"/>
      <c r="C58" s="45"/>
      <c r="D58" s="45"/>
      <c r="F58" s="45"/>
      <c r="G58" s="69" t="str">
        <f ca="1">IF(L57="","",G57+MAX(0,(1+L57)/ROUND(OFFSET(A58,0,FORMULÁRIO!$E$10-1)/OFFSET(A57,0,FORMULÁRIO!$E$10-1),4)-1)+IF(DATE(YEAR(FORMULÁRIO!Q$22),MONTH(FORMULÁRIO!Q$22),1)=TabelaCalculo[[#This Row],[DATA]],M57*(1-DAY(FORMULÁRIO!Q$22))/DAY(EOMONTH(TabelaCalculo[[#This Row],[DATA]],0)),0)+IF(DATE(YEAR(FORMULÁRIO!Q$24),MONTH(FORMULÁRIO!Q$24),1)=TabelaCalculo[[#This Row],[DATA]],M57*(-1+DAY(FORMULÁRIO!Q$24))/DAY(EOMONTH(TabelaCalculo[[#This Row],[DATA]],0)),0))</f>
        <v/>
      </c>
      <c r="H58" s="45"/>
      <c r="I58" s="62">
        <v>32.81</v>
      </c>
      <c r="J58" s="62">
        <v>2.9214669999999998</v>
      </c>
      <c r="K58" s="62">
        <v>32.81</v>
      </c>
      <c r="L58" s="80"/>
      <c r="M58" s="91"/>
      <c r="N58" s="46"/>
    </row>
    <row r="59" spans="1:14" x14ac:dyDescent="0.25">
      <c r="A59" s="59">
        <v>25082</v>
      </c>
      <c r="B59" s="62"/>
      <c r="C59" s="45"/>
      <c r="D59" s="45"/>
      <c r="F59" s="45"/>
      <c r="G59" s="69" t="str">
        <f ca="1">IF(L58="","",G58+MAX(0,(1+L58)/ROUND(OFFSET(A59,0,FORMULÁRIO!$E$10-1)/OFFSET(A58,0,FORMULÁRIO!$E$10-1),4)-1)+IF(DATE(YEAR(FORMULÁRIO!Q$22),MONTH(FORMULÁRIO!Q$22),1)=TabelaCalculo[[#This Row],[DATA]],M58*(1-DAY(FORMULÁRIO!Q$22))/DAY(EOMONTH(TabelaCalculo[[#This Row],[DATA]],0)),0)+IF(DATE(YEAR(FORMULÁRIO!Q$24),MONTH(FORMULÁRIO!Q$24),1)=TabelaCalculo[[#This Row],[DATA]],M58*(-1+DAY(FORMULÁRIO!Q$24))/DAY(EOMONTH(TabelaCalculo[[#This Row],[DATA]],0)),0))</f>
        <v/>
      </c>
      <c r="H59" s="45"/>
      <c r="I59" s="62">
        <v>33.409999999999997</v>
      </c>
      <c r="J59" s="62">
        <v>2.9748920000000001</v>
      </c>
      <c r="K59" s="62">
        <v>33.409999999999997</v>
      </c>
      <c r="L59" s="80"/>
      <c r="M59" s="91"/>
      <c r="N59" s="46"/>
    </row>
    <row r="60" spans="1:14" x14ac:dyDescent="0.25">
      <c r="A60" s="59">
        <v>25112</v>
      </c>
      <c r="B60" s="62"/>
      <c r="C60" s="45"/>
      <c r="D60" s="45"/>
      <c r="F60" s="45"/>
      <c r="G60" s="69" t="str">
        <f ca="1">IF(L59="","",G59+MAX(0,(1+L59)/ROUND(OFFSET(A60,0,FORMULÁRIO!$E$10-1)/OFFSET(A59,0,FORMULÁRIO!$E$10-1),4)-1)+IF(DATE(YEAR(FORMULÁRIO!Q$22),MONTH(FORMULÁRIO!Q$22),1)=TabelaCalculo[[#This Row],[DATA]],M59*(1-DAY(FORMULÁRIO!Q$22))/DAY(EOMONTH(TabelaCalculo[[#This Row],[DATA]],0)),0)+IF(DATE(YEAR(FORMULÁRIO!Q$24),MONTH(FORMULÁRIO!Q$24),1)=TabelaCalculo[[#This Row],[DATA]],M59*(-1+DAY(FORMULÁRIO!Q$24))/DAY(EOMONTH(TabelaCalculo[[#This Row],[DATA]],0)),0))</f>
        <v/>
      </c>
      <c r="H60" s="45"/>
      <c r="I60" s="62">
        <v>33.880000000000003</v>
      </c>
      <c r="J60" s="62">
        <v>3.0167419999999998</v>
      </c>
      <c r="K60" s="62">
        <v>33.880000000000003</v>
      </c>
      <c r="L60" s="80"/>
      <c r="M60" s="91"/>
      <c r="N60" s="46"/>
    </row>
    <row r="61" spans="1:14" x14ac:dyDescent="0.25">
      <c r="A61" s="59">
        <v>25143</v>
      </c>
      <c r="B61" s="62"/>
      <c r="C61" s="45"/>
      <c r="D61" s="45"/>
      <c r="F61" s="45"/>
      <c r="G61" s="69" t="str">
        <f ca="1">IF(L60="","",G60+MAX(0,(1+L60)/ROUND(OFFSET(A61,0,FORMULÁRIO!$E$10-1)/OFFSET(A60,0,FORMULÁRIO!$E$10-1),4)-1)+IF(DATE(YEAR(FORMULÁRIO!Q$22),MONTH(FORMULÁRIO!Q$22),1)=TabelaCalculo[[#This Row],[DATA]],M60*(1-DAY(FORMULÁRIO!Q$22))/DAY(EOMONTH(TabelaCalculo[[#This Row],[DATA]],0)),0)+IF(DATE(YEAR(FORMULÁRIO!Q$24),MONTH(FORMULÁRIO!Q$24),1)=TabelaCalculo[[#This Row],[DATA]],M60*(-1+DAY(FORMULÁRIO!Q$24))/DAY(EOMONTH(TabelaCalculo[[#This Row],[DATA]],0)),0))</f>
        <v/>
      </c>
      <c r="H61" s="45"/>
      <c r="I61" s="62">
        <v>34.39</v>
      </c>
      <c r="J61" s="62">
        <v>3.0621529999999999</v>
      </c>
      <c r="K61" s="62">
        <v>34.39</v>
      </c>
      <c r="L61" s="80"/>
      <c r="M61" s="91"/>
      <c r="N61" s="46"/>
    </row>
    <row r="62" spans="1:14" x14ac:dyDescent="0.25">
      <c r="A62" s="59">
        <v>25173</v>
      </c>
      <c r="B62" s="62"/>
      <c r="C62" s="45"/>
      <c r="D62" s="45"/>
      <c r="F62" s="45"/>
      <c r="G62" s="69" t="str">
        <f ca="1">IF(L61="","",G61+MAX(0,(1+L61)/ROUND(OFFSET(A62,0,FORMULÁRIO!$E$10-1)/OFFSET(A61,0,FORMULÁRIO!$E$10-1),4)-1)+IF(DATE(YEAR(FORMULÁRIO!Q$22),MONTH(FORMULÁRIO!Q$22),1)=TabelaCalculo[[#This Row],[DATA]],M61*(1-DAY(FORMULÁRIO!Q$22))/DAY(EOMONTH(TabelaCalculo[[#This Row],[DATA]],0)),0)+IF(DATE(YEAR(FORMULÁRIO!Q$24),MONTH(FORMULÁRIO!Q$24),1)=TabelaCalculo[[#This Row],[DATA]],M61*(-1+DAY(FORMULÁRIO!Q$24))/DAY(EOMONTH(TabelaCalculo[[#This Row],[DATA]],0)),0))</f>
        <v/>
      </c>
      <c r="H62" s="45"/>
      <c r="I62" s="62">
        <v>34.950000000000003</v>
      </c>
      <c r="J62" s="62">
        <v>3.1120169999999998</v>
      </c>
      <c r="K62" s="62">
        <v>34.950000000000003</v>
      </c>
      <c r="L62" s="80"/>
      <c r="M62" s="91"/>
      <c r="N62" s="46"/>
    </row>
    <row r="63" spans="1:14" x14ac:dyDescent="0.25">
      <c r="A63" s="59">
        <v>25204</v>
      </c>
      <c r="B63" s="62"/>
      <c r="C63" s="45"/>
      <c r="D63" s="45"/>
      <c r="F63" s="45"/>
      <c r="G63" s="69" t="str">
        <f ca="1">IF(L62="","",G62+MAX(0,(1+L62)/ROUND(OFFSET(A63,0,FORMULÁRIO!$E$10-1)/OFFSET(A62,0,FORMULÁRIO!$E$10-1),4)-1)+IF(DATE(YEAR(FORMULÁRIO!Q$22),MONTH(FORMULÁRIO!Q$22),1)=TabelaCalculo[[#This Row],[DATA]],M62*(1-DAY(FORMULÁRIO!Q$22))/DAY(EOMONTH(TabelaCalculo[[#This Row],[DATA]],0)),0)+IF(DATE(YEAR(FORMULÁRIO!Q$24),MONTH(FORMULÁRIO!Q$24),1)=TabelaCalculo[[#This Row],[DATA]],M62*(-1+DAY(FORMULÁRIO!Q$24))/DAY(EOMONTH(TabelaCalculo[[#This Row],[DATA]],0)),0))</f>
        <v/>
      </c>
      <c r="H63" s="45"/>
      <c r="I63" s="62">
        <v>35.619999999999997</v>
      </c>
      <c r="J63" s="62">
        <v>3.171675</v>
      </c>
      <c r="K63" s="62">
        <v>35.619999999999997</v>
      </c>
      <c r="L63" s="80"/>
      <c r="M63" s="91"/>
      <c r="N63" s="46"/>
    </row>
    <row r="64" spans="1:14" x14ac:dyDescent="0.25">
      <c r="A64" s="59">
        <v>25235</v>
      </c>
      <c r="B64" s="62"/>
      <c r="C64" s="45"/>
      <c r="D64" s="45"/>
      <c r="F64" s="45"/>
      <c r="G64" s="69" t="str">
        <f ca="1">IF(L63="","",G63+MAX(0,(1+L63)/ROUND(OFFSET(A64,0,FORMULÁRIO!$E$10-1)/OFFSET(A63,0,FORMULÁRIO!$E$10-1),4)-1)+IF(DATE(YEAR(FORMULÁRIO!Q$22),MONTH(FORMULÁRIO!Q$22),1)=TabelaCalculo[[#This Row],[DATA]],M63*(1-DAY(FORMULÁRIO!Q$22))/DAY(EOMONTH(TabelaCalculo[[#This Row],[DATA]],0)),0)+IF(DATE(YEAR(FORMULÁRIO!Q$24),MONTH(FORMULÁRIO!Q$24),1)=TabelaCalculo[[#This Row],[DATA]],M63*(-1+DAY(FORMULÁRIO!Q$24))/DAY(EOMONTH(TabelaCalculo[[#This Row],[DATA]],0)),0))</f>
        <v/>
      </c>
      <c r="H64" s="45"/>
      <c r="I64" s="62">
        <v>36.270000000000003</v>
      </c>
      <c r="J64" s="62">
        <v>3.229552</v>
      </c>
      <c r="K64" s="62">
        <v>36.270000000000003</v>
      </c>
      <c r="L64" s="80"/>
      <c r="M64" s="91"/>
      <c r="N64" s="46"/>
    </row>
    <row r="65" spans="1:14" x14ac:dyDescent="0.25">
      <c r="A65" s="59">
        <v>25263</v>
      </c>
      <c r="B65" s="62"/>
      <c r="C65" s="45"/>
      <c r="D65" s="45"/>
      <c r="F65" s="45"/>
      <c r="G65" s="69" t="str">
        <f ca="1">IF(L64="","",G64+MAX(0,(1+L64)/ROUND(OFFSET(A65,0,FORMULÁRIO!$E$10-1)/OFFSET(A64,0,FORMULÁRIO!$E$10-1),4)-1)+IF(DATE(YEAR(FORMULÁRIO!Q$22),MONTH(FORMULÁRIO!Q$22),1)=TabelaCalculo[[#This Row],[DATA]],M64*(1-DAY(FORMULÁRIO!Q$22))/DAY(EOMONTH(TabelaCalculo[[#This Row],[DATA]],0)),0)+IF(DATE(YEAR(FORMULÁRIO!Q$24),MONTH(FORMULÁRIO!Q$24),1)=TabelaCalculo[[#This Row],[DATA]],M64*(-1+DAY(FORMULÁRIO!Q$24))/DAY(EOMONTH(TabelaCalculo[[#This Row],[DATA]],0)),0))</f>
        <v/>
      </c>
      <c r="H65" s="45"/>
      <c r="I65" s="62">
        <v>36.909999999999997</v>
      </c>
      <c r="J65" s="62">
        <v>3.2865389999999999</v>
      </c>
      <c r="K65" s="62">
        <v>36.909999999999997</v>
      </c>
      <c r="L65" s="80"/>
      <c r="M65" s="91"/>
      <c r="N65" s="46"/>
    </row>
    <row r="66" spans="1:14" x14ac:dyDescent="0.25">
      <c r="A66" s="59">
        <v>25294</v>
      </c>
      <c r="B66" s="62"/>
      <c r="C66" s="45"/>
      <c r="D66" s="45"/>
      <c r="F66" s="45"/>
      <c r="G66" s="69" t="str">
        <f ca="1">IF(L65="","",G65+MAX(0,(1+L65)/ROUND(OFFSET(A66,0,FORMULÁRIO!$E$10-1)/OFFSET(A65,0,FORMULÁRIO!$E$10-1),4)-1)+IF(DATE(YEAR(FORMULÁRIO!Q$22),MONTH(FORMULÁRIO!Q$22),1)=TabelaCalculo[[#This Row],[DATA]],M65*(1-DAY(FORMULÁRIO!Q$22))/DAY(EOMONTH(TabelaCalculo[[#This Row],[DATA]],0)),0)+IF(DATE(YEAR(FORMULÁRIO!Q$24),MONTH(FORMULÁRIO!Q$24),1)=TabelaCalculo[[#This Row],[DATA]],M65*(-1+DAY(FORMULÁRIO!Q$24))/DAY(EOMONTH(TabelaCalculo[[#This Row],[DATA]],0)),0))</f>
        <v/>
      </c>
      <c r="H66" s="45"/>
      <c r="I66" s="62">
        <v>37.43</v>
      </c>
      <c r="J66" s="62">
        <v>3.3328410000000002</v>
      </c>
      <c r="K66" s="62">
        <v>37.43</v>
      </c>
      <c r="L66" s="80"/>
      <c r="M66" s="91"/>
      <c r="N66" s="46"/>
    </row>
    <row r="67" spans="1:14" x14ac:dyDescent="0.25">
      <c r="A67" s="59">
        <v>25324</v>
      </c>
      <c r="B67" s="62"/>
      <c r="C67" s="45"/>
      <c r="D67" s="45"/>
      <c r="F67" s="45"/>
      <c r="G67" s="69" t="str">
        <f ca="1">IF(L66="","",G66+MAX(0,(1+L66)/ROUND(OFFSET(A67,0,FORMULÁRIO!$E$10-1)/OFFSET(A66,0,FORMULÁRIO!$E$10-1),4)-1)+IF(DATE(YEAR(FORMULÁRIO!Q$22),MONTH(FORMULÁRIO!Q$22),1)=TabelaCalculo[[#This Row],[DATA]],M66*(1-DAY(FORMULÁRIO!Q$22))/DAY(EOMONTH(TabelaCalculo[[#This Row],[DATA]],0)),0)+IF(DATE(YEAR(FORMULÁRIO!Q$24),MONTH(FORMULÁRIO!Q$24),1)=TabelaCalculo[[#This Row],[DATA]],M66*(-1+DAY(FORMULÁRIO!Q$24))/DAY(EOMONTH(TabelaCalculo[[#This Row],[DATA]],0)),0))</f>
        <v/>
      </c>
      <c r="H67" s="45"/>
      <c r="I67" s="62">
        <v>38.01</v>
      </c>
      <c r="J67" s="62">
        <v>3.3844850000000002</v>
      </c>
      <c r="K67" s="62">
        <v>38.01</v>
      </c>
      <c r="L67" s="80"/>
      <c r="M67" s="91"/>
      <c r="N67" s="46"/>
    </row>
    <row r="68" spans="1:14" x14ac:dyDescent="0.25">
      <c r="A68" s="59">
        <v>25355</v>
      </c>
      <c r="B68" s="62"/>
      <c r="C68" s="45"/>
      <c r="D68" s="45"/>
      <c r="F68" s="45"/>
      <c r="G68" s="69" t="str">
        <f ca="1">IF(L67="","",G67+MAX(0,(1+L67)/ROUND(OFFSET(A68,0,FORMULÁRIO!$E$10-1)/OFFSET(A67,0,FORMULÁRIO!$E$10-1),4)-1)+IF(DATE(YEAR(FORMULÁRIO!Q$22),MONTH(FORMULÁRIO!Q$22),1)=TabelaCalculo[[#This Row],[DATA]],M67*(1-DAY(FORMULÁRIO!Q$22))/DAY(EOMONTH(TabelaCalculo[[#This Row],[DATA]],0)),0)+IF(DATE(YEAR(FORMULÁRIO!Q$24),MONTH(FORMULÁRIO!Q$24),1)=TabelaCalculo[[#This Row],[DATA]],M67*(-1+DAY(FORMULÁRIO!Q$24))/DAY(EOMONTH(TabelaCalculo[[#This Row],[DATA]],0)),0))</f>
        <v/>
      </c>
      <c r="H68" s="45"/>
      <c r="I68" s="62">
        <v>38.479999999999997</v>
      </c>
      <c r="J68" s="62">
        <v>3.4263349999999999</v>
      </c>
      <c r="K68" s="62">
        <v>38.479999999999997</v>
      </c>
      <c r="L68" s="80"/>
      <c r="M68" s="91"/>
      <c r="N68" s="46"/>
    </row>
    <row r="69" spans="1:14" x14ac:dyDescent="0.25">
      <c r="A69" s="59">
        <v>25385</v>
      </c>
      <c r="B69" s="62"/>
      <c r="C69" s="45"/>
      <c r="D69" s="45"/>
      <c r="F69" s="45"/>
      <c r="G69" s="69" t="str">
        <f ca="1">IF(L68="","",G68+MAX(0,(1+L68)/ROUND(OFFSET(A69,0,FORMULÁRIO!$E$10-1)/OFFSET(A68,0,FORMULÁRIO!$E$10-1),4)-1)+IF(DATE(YEAR(FORMULÁRIO!Q$22),MONTH(FORMULÁRIO!Q$22),1)=TabelaCalculo[[#This Row],[DATA]],M68*(1-DAY(FORMULÁRIO!Q$22))/DAY(EOMONTH(TabelaCalculo[[#This Row],[DATA]],0)),0)+IF(DATE(YEAR(FORMULÁRIO!Q$24),MONTH(FORMULÁRIO!Q$24),1)=TabelaCalculo[[#This Row],[DATA]],M68*(-1+DAY(FORMULÁRIO!Q$24))/DAY(EOMONTH(TabelaCalculo[[#This Row],[DATA]],0)),0))</f>
        <v/>
      </c>
      <c r="H69" s="45"/>
      <c r="I69" s="62">
        <v>39</v>
      </c>
      <c r="J69" s="62">
        <v>3.4726370000000002</v>
      </c>
      <c r="K69" s="62">
        <v>39</v>
      </c>
      <c r="L69" s="80"/>
      <c r="M69" s="91"/>
      <c r="N69" s="46"/>
    </row>
    <row r="70" spans="1:14" x14ac:dyDescent="0.25">
      <c r="A70" s="59">
        <v>25416</v>
      </c>
      <c r="B70" s="62"/>
      <c r="C70" s="45"/>
      <c r="D70" s="45"/>
      <c r="F70" s="45"/>
      <c r="G70" s="69" t="str">
        <f ca="1">IF(L69="","",G69+MAX(0,(1+L69)/ROUND(OFFSET(A70,0,FORMULÁRIO!$E$10-1)/OFFSET(A69,0,FORMULÁRIO!$E$10-1),4)-1)+IF(DATE(YEAR(FORMULÁRIO!Q$22),MONTH(FORMULÁRIO!Q$22),1)=TabelaCalculo[[#This Row],[DATA]],M69*(1-DAY(FORMULÁRIO!Q$22))/DAY(EOMONTH(TabelaCalculo[[#This Row],[DATA]],0)),0)+IF(DATE(YEAR(FORMULÁRIO!Q$24),MONTH(FORMULÁRIO!Q$24),1)=TabelaCalculo[[#This Row],[DATA]],M69*(-1+DAY(FORMULÁRIO!Q$24))/DAY(EOMONTH(TabelaCalculo[[#This Row],[DATA]],0)),0))</f>
        <v/>
      </c>
      <c r="H70" s="45"/>
      <c r="I70" s="62">
        <v>39.270000000000003</v>
      </c>
      <c r="J70" s="62">
        <v>3.4966780000000002</v>
      </c>
      <c r="K70" s="62">
        <v>39.270000000000003</v>
      </c>
      <c r="L70" s="80"/>
      <c r="M70" s="91"/>
      <c r="N70" s="46"/>
    </row>
    <row r="71" spans="1:14" x14ac:dyDescent="0.25">
      <c r="A71" s="59">
        <v>25447</v>
      </c>
      <c r="B71" s="62"/>
      <c r="C71" s="45"/>
      <c r="D71" s="45"/>
      <c r="F71" s="45"/>
      <c r="G71" s="69" t="str">
        <f ca="1">IF(L70="","",G70+MAX(0,(1+L70)/ROUND(OFFSET(A71,0,FORMULÁRIO!$E$10-1)/OFFSET(A70,0,FORMULÁRIO!$E$10-1),4)-1)+IF(DATE(YEAR(FORMULÁRIO!Q$22),MONTH(FORMULÁRIO!Q$22),1)=TabelaCalculo[[#This Row],[DATA]],M70*(1-DAY(FORMULÁRIO!Q$22))/DAY(EOMONTH(TabelaCalculo[[#This Row],[DATA]],0)),0)+IF(DATE(YEAR(FORMULÁRIO!Q$24),MONTH(FORMULÁRIO!Q$24),1)=TabelaCalculo[[#This Row],[DATA]],M70*(-1+DAY(FORMULÁRIO!Q$24))/DAY(EOMONTH(TabelaCalculo[[#This Row],[DATA]],0)),0))</f>
        <v/>
      </c>
      <c r="H71" s="45"/>
      <c r="I71" s="62">
        <v>39.56</v>
      </c>
      <c r="J71" s="62">
        <v>3.5225</v>
      </c>
      <c r="K71" s="62">
        <v>39.56</v>
      </c>
      <c r="L71" s="80"/>
      <c r="M71" s="91"/>
      <c r="N71" s="46"/>
    </row>
    <row r="72" spans="1:14" x14ac:dyDescent="0.25">
      <c r="A72" s="59">
        <v>25477</v>
      </c>
      <c r="B72" s="62"/>
      <c r="C72" s="45"/>
      <c r="D72" s="45"/>
      <c r="F72" s="45"/>
      <c r="G72" s="69" t="str">
        <f ca="1">IF(L71="","",G71+MAX(0,(1+L71)/ROUND(OFFSET(A72,0,FORMULÁRIO!$E$10-1)/OFFSET(A71,0,FORMULÁRIO!$E$10-1),4)-1)+IF(DATE(YEAR(FORMULÁRIO!Q$22),MONTH(FORMULÁRIO!Q$22),1)=TabelaCalculo[[#This Row],[DATA]],M71*(1-DAY(FORMULÁRIO!Q$22))/DAY(EOMONTH(TabelaCalculo[[#This Row],[DATA]],0)),0)+IF(DATE(YEAR(FORMULÁRIO!Q$24),MONTH(FORMULÁRIO!Q$24),1)=TabelaCalculo[[#This Row],[DATA]],M71*(-1+DAY(FORMULÁRIO!Q$24))/DAY(EOMONTH(TabelaCalculo[[#This Row],[DATA]],0)),0))</f>
        <v/>
      </c>
      <c r="H72" s="45"/>
      <c r="I72" s="62">
        <v>39.92</v>
      </c>
      <c r="J72" s="62">
        <v>3.5545550000000001</v>
      </c>
      <c r="K72" s="62">
        <v>39.92</v>
      </c>
      <c r="L72" s="80"/>
      <c r="M72" s="91"/>
      <c r="N72" s="46"/>
    </row>
    <row r="73" spans="1:14" x14ac:dyDescent="0.25">
      <c r="A73" s="59">
        <v>25508</v>
      </c>
      <c r="B73" s="62"/>
      <c r="C73" s="45"/>
      <c r="D73" s="45"/>
      <c r="F73" s="45"/>
      <c r="G73" s="69" t="str">
        <f ca="1">IF(L72="","",G72+MAX(0,(1+L72)/ROUND(OFFSET(A73,0,FORMULÁRIO!$E$10-1)/OFFSET(A72,0,FORMULÁRIO!$E$10-1),4)-1)+IF(DATE(YEAR(FORMULÁRIO!Q$22),MONTH(FORMULÁRIO!Q$22),1)=TabelaCalculo[[#This Row],[DATA]],M72*(1-DAY(FORMULÁRIO!Q$22))/DAY(EOMONTH(TabelaCalculo[[#This Row],[DATA]],0)),0)+IF(DATE(YEAR(FORMULÁRIO!Q$24),MONTH(FORMULÁRIO!Q$24),1)=TabelaCalculo[[#This Row],[DATA]],M72*(-1+DAY(FORMULÁRIO!Q$24))/DAY(EOMONTH(TabelaCalculo[[#This Row],[DATA]],0)),0))</f>
        <v/>
      </c>
      <c r="H73" s="45"/>
      <c r="I73" s="62">
        <v>40.57</v>
      </c>
      <c r="J73" s="62">
        <v>3.6124320000000001</v>
      </c>
      <c r="K73" s="62">
        <v>40.57</v>
      </c>
      <c r="L73" s="80"/>
      <c r="M73" s="91"/>
      <c r="N73" s="46"/>
    </row>
    <row r="74" spans="1:14" x14ac:dyDescent="0.25">
      <c r="A74" s="59">
        <v>25538</v>
      </c>
      <c r="B74" s="62"/>
      <c r="C74" s="45"/>
      <c r="D74" s="45"/>
      <c r="F74" s="45"/>
      <c r="G74" s="69" t="str">
        <f ca="1">IF(L73="","",G73+MAX(0,(1+L73)/ROUND(OFFSET(A74,0,FORMULÁRIO!$E$10-1)/OFFSET(A73,0,FORMULÁRIO!$E$10-1),4)-1)+IF(DATE(YEAR(FORMULÁRIO!Q$22),MONTH(FORMULÁRIO!Q$22),1)=TabelaCalculo[[#This Row],[DATA]],M73*(1-DAY(FORMULÁRIO!Q$22))/DAY(EOMONTH(TabelaCalculo[[#This Row],[DATA]],0)),0)+IF(DATE(YEAR(FORMULÁRIO!Q$24),MONTH(FORMULÁRIO!Q$24),1)=TabelaCalculo[[#This Row],[DATA]],M73*(-1+DAY(FORMULÁRIO!Q$24))/DAY(EOMONTH(TabelaCalculo[[#This Row],[DATA]],0)),0))</f>
        <v/>
      </c>
      <c r="H74" s="45"/>
      <c r="I74" s="62">
        <v>41.42</v>
      </c>
      <c r="J74" s="62">
        <v>3.6881179999999998</v>
      </c>
      <c r="K74" s="62">
        <v>41.42</v>
      </c>
      <c r="L74" s="80"/>
      <c r="M74" s="91"/>
      <c r="N74" s="46"/>
    </row>
    <row r="75" spans="1:14" x14ac:dyDescent="0.25">
      <c r="A75" s="59">
        <v>25569</v>
      </c>
      <c r="B75" s="62"/>
      <c r="C75" s="45"/>
      <c r="D75" s="45"/>
      <c r="F75" s="45"/>
      <c r="G75" s="69" t="str">
        <f ca="1">IF(L74="","",G74+MAX(0,(1+L74)/ROUND(OFFSET(A75,0,FORMULÁRIO!$E$10-1)/OFFSET(A74,0,FORMULÁRIO!$E$10-1),4)-1)+IF(DATE(YEAR(FORMULÁRIO!Q$22),MONTH(FORMULÁRIO!Q$22),1)=TabelaCalculo[[#This Row],[DATA]],M74*(1-DAY(FORMULÁRIO!Q$22))/DAY(EOMONTH(TabelaCalculo[[#This Row],[DATA]],0)),0)+IF(DATE(YEAR(FORMULÁRIO!Q$24),MONTH(FORMULÁRIO!Q$24),1)=TabelaCalculo[[#This Row],[DATA]],M74*(-1+DAY(FORMULÁRIO!Q$24))/DAY(EOMONTH(TabelaCalculo[[#This Row],[DATA]],0)),0))</f>
        <v/>
      </c>
      <c r="H75" s="45"/>
      <c r="I75" s="62">
        <v>42.35</v>
      </c>
      <c r="J75" s="62">
        <v>3.7709269999999999</v>
      </c>
      <c r="K75" s="62">
        <v>42.35</v>
      </c>
      <c r="L75" s="80"/>
      <c r="M75" s="91"/>
      <c r="N75" s="46"/>
    </row>
    <row r="76" spans="1:14" x14ac:dyDescent="0.25">
      <c r="A76" s="59">
        <v>25600</v>
      </c>
      <c r="B76" s="62"/>
      <c r="C76" s="45"/>
      <c r="D76" s="45"/>
      <c r="F76" s="45"/>
      <c r="G76" s="69" t="str">
        <f ca="1">IF(L75="","",G75+MAX(0,(1+L75)/ROUND(OFFSET(A76,0,FORMULÁRIO!$E$10-1)/OFFSET(A75,0,FORMULÁRIO!$E$10-1),4)-1)+IF(DATE(YEAR(FORMULÁRIO!Q$22),MONTH(FORMULÁRIO!Q$22),1)=TabelaCalculo[[#This Row],[DATA]],M75*(1-DAY(FORMULÁRIO!Q$22))/DAY(EOMONTH(TabelaCalculo[[#This Row],[DATA]],0)),0)+IF(DATE(YEAR(FORMULÁRIO!Q$24),MONTH(FORMULÁRIO!Q$24),1)=TabelaCalculo[[#This Row],[DATA]],M75*(-1+DAY(FORMULÁRIO!Q$24))/DAY(EOMONTH(TabelaCalculo[[#This Row],[DATA]],0)),0))</f>
        <v/>
      </c>
      <c r="H76" s="45"/>
      <c r="I76" s="62">
        <v>43.3</v>
      </c>
      <c r="J76" s="62">
        <v>3.8555169999999999</v>
      </c>
      <c r="K76" s="62">
        <v>43.3</v>
      </c>
      <c r="L76" s="80"/>
      <c r="M76" s="91"/>
      <c r="N76" s="46"/>
    </row>
    <row r="77" spans="1:14" x14ac:dyDescent="0.25">
      <c r="A77" s="59">
        <v>25628</v>
      </c>
      <c r="B77" s="62"/>
      <c r="C77" s="45"/>
      <c r="D77" s="45"/>
      <c r="F77" s="45"/>
      <c r="G77" s="69" t="str">
        <f ca="1">IF(L76="","",G76+MAX(0,(1+L76)/ROUND(OFFSET(A77,0,FORMULÁRIO!$E$10-1)/OFFSET(A76,0,FORMULÁRIO!$E$10-1),4)-1)+IF(DATE(YEAR(FORMULÁRIO!Q$22),MONTH(FORMULÁRIO!Q$22),1)=TabelaCalculo[[#This Row],[DATA]],M76*(1-DAY(FORMULÁRIO!Q$22))/DAY(EOMONTH(TabelaCalculo[[#This Row],[DATA]],0)),0)+IF(DATE(YEAR(FORMULÁRIO!Q$24),MONTH(FORMULÁRIO!Q$24),1)=TabelaCalculo[[#This Row],[DATA]],M76*(-1+DAY(FORMULÁRIO!Q$24))/DAY(EOMONTH(TabelaCalculo[[#This Row],[DATA]],0)),0))</f>
        <v/>
      </c>
      <c r="H77" s="45"/>
      <c r="I77" s="62">
        <v>44.17</v>
      </c>
      <c r="J77" s="62">
        <v>3.9329839999999998</v>
      </c>
      <c r="K77" s="62">
        <v>44.17</v>
      </c>
      <c r="L77" s="80"/>
      <c r="M77" s="91"/>
      <c r="N77" s="46"/>
    </row>
    <row r="78" spans="1:14" x14ac:dyDescent="0.25">
      <c r="A78" s="59">
        <v>25659</v>
      </c>
      <c r="B78" s="62"/>
      <c r="C78" s="45"/>
      <c r="D78" s="45"/>
      <c r="F78" s="45"/>
      <c r="G78" s="69" t="str">
        <f ca="1">IF(L77="","",G77+MAX(0,(1+L77)/ROUND(OFFSET(A78,0,FORMULÁRIO!$E$10-1)/OFFSET(A77,0,FORMULÁRIO!$E$10-1),4)-1)+IF(DATE(YEAR(FORMULÁRIO!Q$22),MONTH(FORMULÁRIO!Q$22),1)=TabelaCalculo[[#This Row],[DATA]],M77*(1-DAY(FORMULÁRIO!Q$22))/DAY(EOMONTH(TabelaCalculo[[#This Row],[DATA]],0)),0)+IF(DATE(YEAR(FORMULÁRIO!Q$24),MONTH(FORMULÁRIO!Q$24),1)=TabelaCalculo[[#This Row],[DATA]],M77*(-1+DAY(FORMULÁRIO!Q$24))/DAY(EOMONTH(TabelaCalculo[[#This Row],[DATA]],0)),0))</f>
        <v/>
      </c>
      <c r="H78" s="45"/>
      <c r="I78" s="62">
        <v>44.67</v>
      </c>
      <c r="J78" s="62">
        <v>3.9775040000000002</v>
      </c>
      <c r="K78" s="62">
        <v>44.67</v>
      </c>
      <c r="L78" s="80"/>
      <c r="M78" s="91"/>
      <c r="N78" s="46"/>
    </row>
    <row r="79" spans="1:14" x14ac:dyDescent="0.25">
      <c r="A79" s="59">
        <v>25689</v>
      </c>
      <c r="B79" s="62"/>
      <c r="C79" s="45"/>
      <c r="D79" s="45"/>
      <c r="F79" s="45"/>
      <c r="G79" s="69" t="str">
        <f ca="1">IF(L78="","",G78+MAX(0,(1+L78)/ROUND(OFFSET(A79,0,FORMULÁRIO!$E$10-1)/OFFSET(A78,0,FORMULÁRIO!$E$10-1),4)-1)+IF(DATE(YEAR(FORMULÁRIO!Q$22),MONTH(FORMULÁRIO!Q$22),1)=TabelaCalculo[[#This Row],[DATA]],M78*(1-DAY(FORMULÁRIO!Q$22))/DAY(EOMONTH(TabelaCalculo[[#This Row],[DATA]],0)),0)+IF(DATE(YEAR(FORMULÁRIO!Q$24),MONTH(FORMULÁRIO!Q$24),1)=TabelaCalculo[[#This Row],[DATA]],M78*(-1+DAY(FORMULÁRIO!Q$24))/DAY(EOMONTH(TabelaCalculo[[#This Row],[DATA]],0)),0))</f>
        <v/>
      </c>
      <c r="H79" s="45"/>
      <c r="I79" s="62">
        <v>45.08</v>
      </c>
      <c r="J79" s="62">
        <v>4.0140120000000001</v>
      </c>
      <c r="K79" s="62">
        <v>45.08</v>
      </c>
      <c r="L79" s="80"/>
      <c r="M79" s="91"/>
      <c r="N79" s="46"/>
    </row>
    <row r="80" spans="1:14" x14ac:dyDescent="0.25">
      <c r="A80" s="59">
        <v>25720</v>
      </c>
      <c r="B80" s="62"/>
      <c r="C80" s="45"/>
      <c r="D80" s="45"/>
      <c r="F80" s="45"/>
      <c r="G80" s="69" t="str">
        <f ca="1">IF(L79="","",G79+MAX(0,(1+L79)/ROUND(OFFSET(A80,0,FORMULÁRIO!$E$10-1)/OFFSET(A79,0,FORMULÁRIO!$E$10-1),4)-1)+IF(DATE(YEAR(FORMULÁRIO!Q$22),MONTH(FORMULÁRIO!Q$22),1)=TabelaCalculo[[#This Row],[DATA]],M79*(1-DAY(FORMULÁRIO!Q$22))/DAY(EOMONTH(TabelaCalculo[[#This Row],[DATA]],0)),0)+IF(DATE(YEAR(FORMULÁRIO!Q$24),MONTH(FORMULÁRIO!Q$24),1)=TabelaCalculo[[#This Row],[DATA]],M79*(-1+DAY(FORMULÁRIO!Q$24))/DAY(EOMONTH(TabelaCalculo[[#This Row],[DATA]],0)),0))</f>
        <v/>
      </c>
      <c r="H80" s="45"/>
      <c r="I80" s="62">
        <v>45.5</v>
      </c>
      <c r="J80" s="62">
        <v>4.0514089999999996</v>
      </c>
      <c r="K80" s="62">
        <v>45.5</v>
      </c>
      <c r="L80" s="80"/>
      <c r="M80" s="91"/>
      <c r="N80" s="46"/>
    </row>
    <row r="81" spans="1:14" x14ac:dyDescent="0.25">
      <c r="A81" s="59">
        <v>25750</v>
      </c>
      <c r="B81" s="62"/>
      <c r="C81" s="45"/>
      <c r="D81" s="45"/>
      <c r="F81" s="45"/>
      <c r="G81" s="69" t="str">
        <f ca="1">IF(L80="","",G80+MAX(0,(1+L80)/ROUND(OFFSET(A81,0,FORMULÁRIO!$E$10-1)/OFFSET(A80,0,FORMULÁRIO!$E$10-1),4)-1)+IF(DATE(YEAR(FORMULÁRIO!Q$22),MONTH(FORMULÁRIO!Q$22),1)=TabelaCalculo[[#This Row],[DATA]],M80*(1-DAY(FORMULÁRIO!Q$22))/DAY(EOMONTH(TabelaCalculo[[#This Row],[DATA]],0)),0)+IF(DATE(YEAR(FORMULÁRIO!Q$24),MONTH(FORMULÁRIO!Q$24),1)=TabelaCalculo[[#This Row],[DATA]],M80*(-1+DAY(FORMULÁRIO!Q$24))/DAY(EOMONTH(TabelaCalculo[[#This Row],[DATA]],0)),0))</f>
        <v/>
      </c>
      <c r="H81" s="45"/>
      <c r="I81" s="62">
        <v>46.2</v>
      </c>
      <c r="J81" s="62">
        <v>4.1137389999999998</v>
      </c>
      <c r="K81" s="62">
        <v>46.2</v>
      </c>
      <c r="L81" s="80"/>
      <c r="M81" s="91"/>
      <c r="N81" s="46"/>
    </row>
    <row r="82" spans="1:14" x14ac:dyDescent="0.25">
      <c r="A82" s="59">
        <v>25781</v>
      </c>
      <c r="B82" s="62"/>
      <c r="C82" s="45"/>
      <c r="D82" s="45"/>
      <c r="F82" s="45"/>
      <c r="G82" s="69" t="str">
        <f ca="1">IF(L81="","",G81+MAX(0,(1+L81)/ROUND(OFFSET(A82,0,FORMULÁRIO!$E$10-1)/OFFSET(A81,0,FORMULÁRIO!$E$10-1),4)-1)+IF(DATE(YEAR(FORMULÁRIO!Q$22),MONTH(FORMULÁRIO!Q$22),1)=TabelaCalculo[[#This Row],[DATA]],M81*(1-DAY(FORMULÁRIO!Q$22))/DAY(EOMONTH(TabelaCalculo[[#This Row],[DATA]],0)),0)+IF(DATE(YEAR(FORMULÁRIO!Q$24),MONTH(FORMULÁRIO!Q$24),1)=TabelaCalculo[[#This Row],[DATA]],M81*(-1+DAY(FORMULÁRIO!Q$24))/DAY(EOMONTH(TabelaCalculo[[#This Row],[DATA]],0)),0))</f>
        <v/>
      </c>
      <c r="H82" s="45"/>
      <c r="I82" s="62">
        <v>46.61</v>
      </c>
      <c r="J82" s="62">
        <v>4.1502460000000001</v>
      </c>
      <c r="K82" s="62">
        <v>46.61</v>
      </c>
      <c r="L82" s="80"/>
      <c r="M82" s="91"/>
      <c r="N82" s="46"/>
    </row>
    <row r="83" spans="1:14" x14ac:dyDescent="0.25">
      <c r="A83" s="59">
        <v>25812</v>
      </c>
      <c r="B83" s="62"/>
      <c r="C83" s="45"/>
      <c r="D83" s="45"/>
      <c r="F83" s="45"/>
      <c r="G83" s="69" t="str">
        <f ca="1">IF(L82="","",G82+MAX(0,(1+L82)/ROUND(OFFSET(A83,0,FORMULÁRIO!$E$10-1)/OFFSET(A82,0,FORMULÁRIO!$E$10-1),4)-1)+IF(DATE(YEAR(FORMULÁRIO!Q$22),MONTH(FORMULÁRIO!Q$22),1)=TabelaCalculo[[#This Row],[DATA]],M82*(1-DAY(FORMULÁRIO!Q$22))/DAY(EOMONTH(TabelaCalculo[[#This Row],[DATA]],0)),0)+IF(DATE(YEAR(FORMULÁRIO!Q$24),MONTH(FORMULÁRIO!Q$24),1)=TabelaCalculo[[#This Row],[DATA]],M82*(-1+DAY(FORMULÁRIO!Q$24))/DAY(EOMONTH(TabelaCalculo[[#This Row],[DATA]],0)),0))</f>
        <v/>
      </c>
      <c r="H83" s="45"/>
      <c r="I83" s="62">
        <v>47.05</v>
      </c>
      <c r="J83" s="62">
        <v>4.1894239999999998</v>
      </c>
      <c r="K83" s="62">
        <v>47.05</v>
      </c>
      <c r="L83" s="80"/>
      <c r="M83" s="91"/>
      <c r="N83" s="46"/>
    </row>
    <row r="84" spans="1:14" x14ac:dyDescent="0.25">
      <c r="A84" s="59">
        <v>25842</v>
      </c>
      <c r="B84" s="62"/>
      <c r="C84" s="45"/>
      <c r="D84" s="45"/>
      <c r="F84" s="45"/>
      <c r="G84" s="69" t="str">
        <f ca="1">IF(L83="","",G83+MAX(0,(1+L83)/ROUND(OFFSET(A84,0,FORMULÁRIO!$E$10-1)/OFFSET(A83,0,FORMULÁRIO!$E$10-1),4)-1)+IF(DATE(YEAR(FORMULÁRIO!Q$22),MONTH(FORMULÁRIO!Q$22),1)=TabelaCalculo[[#This Row],[DATA]],M83*(1-DAY(FORMULÁRIO!Q$22))/DAY(EOMONTH(TabelaCalculo[[#This Row],[DATA]],0)),0)+IF(DATE(YEAR(FORMULÁRIO!Q$24),MONTH(FORMULÁRIO!Q$24),1)=TabelaCalculo[[#This Row],[DATA]],M83*(-1+DAY(FORMULÁRIO!Q$24))/DAY(EOMONTH(TabelaCalculo[[#This Row],[DATA]],0)),0))</f>
        <v/>
      </c>
      <c r="H84" s="45"/>
      <c r="I84" s="62">
        <v>47.61</v>
      </c>
      <c r="J84" s="62">
        <v>4.2392880000000002</v>
      </c>
      <c r="K84" s="62">
        <v>47.61</v>
      </c>
      <c r="L84" s="80"/>
      <c r="M84" s="91"/>
      <c r="N84" s="46"/>
    </row>
    <row r="85" spans="1:14" x14ac:dyDescent="0.25">
      <c r="A85" s="59">
        <v>25873</v>
      </c>
      <c r="B85" s="62"/>
      <c r="C85" s="45"/>
      <c r="D85" s="45"/>
      <c r="F85" s="45"/>
      <c r="G85" s="69" t="str">
        <f ca="1">IF(L84="","",G84+MAX(0,(1+L84)/ROUND(OFFSET(A85,0,FORMULÁRIO!$E$10-1)/OFFSET(A84,0,FORMULÁRIO!$E$10-1),4)-1)+IF(DATE(YEAR(FORMULÁRIO!Q$22),MONTH(FORMULÁRIO!Q$22),1)=TabelaCalculo[[#This Row],[DATA]],M84*(1-DAY(FORMULÁRIO!Q$22))/DAY(EOMONTH(TabelaCalculo[[#This Row],[DATA]],0)),0)+IF(DATE(YEAR(FORMULÁRIO!Q$24),MONTH(FORMULÁRIO!Q$24),1)=TabelaCalculo[[#This Row],[DATA]],M84*(-1+DAY(FORMULÁRIO!Q$24))/DAY(EOMONTH(TabelaCalculo[[#This Row],[DATA]],0)),0))</f>
        <v/>
      </c>
      <c r="H85" s="45"/>
      <c r="I85" s="62">
        <v>48.51</v>
      </c>
      <c r="J85" s="62">
        <v>4.319426</v>
      </c>
      <c r="K85" s="62">
        <v>48.51</v>
      </c>
      <c r="L85" s="80"/>
      <c r="M85" s="91"/>
      <c r="N85" s="46"/>
    </row>
    <row r="86" spans="1:14" x14ac:dyDescent="0.25">
      <c r="A86" s="59">
        <v>25903</v>
      </c>
      <c r="B86" s="62"/>
      <c r="C86" s="45"/>
      <c r="D86" s="45"/>
      <c r="F86" s="45"/>
      <c r="G86" s="69" t="str">
        <f ca="1">IF(L85="","",G85+MAX(0,(1+L85)/ROUND(OFFSET(A86,0,FORMULÁRIO!$E$10-1)/OFFSET(A85,0,FORMULÁRIO!$E$10-1),4)-1)+IF(DATE(YEAR(FORMULÁRIO!Q$22),MONTH(FORMULÁRIO!Q$22),1)=TabelaCalculo[[#This Row],[DATA]],M85*(1-DAY(FORMULÁRIO!Q$22))/DAY(EOMONTH(TabelaCalculo[[#This Row],[DATA]],0)),0)+IF(DATE(YEAR(FORMULÁRIO!Q$24),MONTH(FORMULÁRIO!Q$24),1)=TabelaCalculo[[#This Row],[DATA]],M85*(-1+DAY(FORMULÁRIO!Q$24))/DAY(EOMONTH(TabelaCalculo[[#This Row],[DATA]],0)),0))</f>
        <v/>
      </c>
      <c r="H86" s="45"/>
      <c r="I86" s="62">
        <v>49.54</v>
      </c>
      <c r="J86" s="62">
        <v>4.4111390000000004</v>
      </c>
      <c r="K86" s="62">
        <v>49.54</v>
      </c>
      <c r="L86" s="80"/>
      <c r="M86" s="91"/>
      <c r="N86" s="46"/>
    </row>
    <row r="87" spans="1:14" x14ac:dyDescent="0.25">
      <c r="A87" s="59">
        <v>25934</v>
      </c>
      <c r="B87" s="62"/>
      <c r="C87" s="45"/>
      <c r="D87" s="45"/>
      <c r="F87" s="45"/>
      <c r="G87" s="69" t="str">
        <f ca="1">IF(L86="","",G86+MAX(0,(1+L86)/ROUND(OFFSET(A87,0,FORMULÁRIO!$E$10-1)/OFFSET(A86,0,FORMULÁRIO!$E$10-1),4)-1)+IF(DATE(YEAR(FORMULÁRIO!Q$22),MONTH(FORMULÁRIO!Q$22),1)=TabelaCalculo[[#This Row],[DATA]],M86*(1-DAY(FORMULÁRIO!Q$22))/DAY(EOMONTH(TabelaCalculo[[#This Row],[DATA]],0)),0)+IF(DATE(YEAR(FORMULÁRIO!Q$24),MONTH(FORMULÁRIO!Q$24),1)=TabelaCalculo[[#This Row],[DATA]],M86*(-1+DAY(FORMULÁRIO!Q$24))/DAY(EOMONTH(TabelaCalculo[[#This Row],[DATA]],0)),0))</f>
        <v/>
      </c>
      <c r="H87" s="45"/>
      <c r="I87" s="62">
        <v>50.51</v>
      </c>
      <c r="J87" s="62">
        <v>4.4975100000000001</v>
      </c>
      <c r="K87" s="62">
        <v>50.51</v>
      </c>
      <c r="L87" s="80"/>
      <c r="M87" s="91"/>
      <c r="N87" s="46"/>
    </row>
    <row r="88" spans="1:14" x14ac:dyDescent="0.25">
      <c r="A88" s="59">
        <v>25965</v>
      </c>
      <c r="B88" s="62"/>
      <c r="C88" s="45"/>
      <c r="D88" s="45"/>
      <c r="F88" s="45"/>
      <c r="G88" s="69" t="str">
        <f ca="1">IF(L87="","",G87+MAX(0,(1+L87)/ROUND(OFFSET(A88,0,FORMULÁRIO!$E$10-1)/OFFSET(A87,0,FORMULÁRIO!$E$10-1),4)-1)+IF(DATE(YEAR(FORMULÁRIO!Q$22),MONTH(FORMULÁRIO!Q$22),1)=TabelaCalculo[[#This Row],[DATA]],M87*(1-DAY(FORMULÁRIO!Q$22))/DAY(EOMONTH(TabelaCalculo[[#This Row],[DATA]],0)),0)+IF(DATE(YEAR(FORMULÁRIO!Q$24),MONTH(FORMULÁRIO!Q$24),1)=TabelaCalculo[[#This Row],[DATA]],M87*(-1+DAY(FORMULÁRIO!Q$24))/DAY(EOMONTH(TabelaCalculo[[#This Row],[DATA]],0)),0))</f>
        <v/>
      </c>
      <c r="H88" s="45"/>
      <c r="I88" s="62">
        <v>51.44</v>
      </c>
      <c r="J88" s="62">
        <v>4.5803190000000003</v>
      </c>
      <c r="K88" s="62">
        <v>51.44</v>
      </c>
      <c r="L88" s="80"/>
      <c r="M88" s="91"/>
      <c r="N88" s="46"/>
    </row>
    <row r="89" spans="1:14" x14ac:dyDescent="0.25">
      <c r="A89" s="59">
        <v>25993</v>
      </c>
      <c r="B89" s="62"/>
      <c r="C89" s="45"/>
      <c r="D89" s="45"/>
      <c r="F89" s="45"/>
      <c r="G89" s="69" t="str">
        <f ca="1">IF(L88="","",G88+MAX(0,(1+L88)/ROUND(OFFSET(A89,0,FORMULÁRIO!$E$10-1)/OFFSET(A88,0,FORMULÁRIO!$E$10-1),4)-1)+IF(DATE(YEAR(FORMULÁRIO!Q$22),MONTH(FORMULÁRIO!Q$22),1)=TabelaCalculo[[#This Row],[DATA]],M88*(1-DAY(FORMULÁRIO!Q$22))/DAY(EOMONTH(TabelaCalculo[[#This Row],[DATA]],0)),0)+IF(DATE(YEAR(FORMULÁRIO!Q$24),MONTH(FORMULÁRIO!Q$24),1)=TabelaCalculo[[#This Row],[DATA]],M88*(-1+DAY(FORMULÁRIO!Q$24))/DAY(EOMONTH(TabelaCalculo[[#This Row],[DATA]],0)),0))</f>
        <v/>
      </c>
      <c r="H89" s="45"/>
      <c r="I89" s="62">
        <v>52.12</v>
      </c>
      <c r="J89" s="62">
        <v>4.6408670000000001</v>
      </c>
      <c r="K89" s="62">
        <v>52.12</v>
      </c>
      <c r="L89" s="80"/>
      <c r="M89" s="91"/>
      <c r="N89" s="46"/>
    </row>
    <row r="90" spans="1:14" x14ac:dyDescent="0.25">
      <c r="A90" s="59">
        <v>26024</v>
      </c>
      <c r="B90" s="62"/>
      <c r="C90" s="45"/>
      <c r="D90" s="45"/>
      <c r="F90" s="45"/>
      <c r="G90" s="69" t="str">
        <f ca="1">IF(L89="","",G89+MAX(0,(1+L89)/ROUND(OFFSET(A90,0,FORMULÁRIO!$E$10-1)/OFFSET(A89,0,FORMULÁRIO!$E$10-1),4)-1)+IF(DATE(YEAR(FORMULÁRIO!Q$22),MONTH(FORMULÁRIO!Q$22),1)=TabelaCalculo[[#This Row],[DATA]],M89*(1-DAY(FORMULÁRIO!Q$22))/DAY(EOMONTH(TabelaCalculo[[#This Row],[DATA]],0)),0)+IF(DATE(YEAR(FORMULÁRIO!Q$24),MONTH(FORMULÁRIO!Q$24),1)=TabelaCalculo[[#This Row],[DATA]],M89*(-1+DAY(FORMULÁRIO!Q$24))/DAY(EOMONTH(TabelaCalculo[[#This Row],[DATA]],0)),0))</f>
        <v/>
      </c>
      <c r="H90" s="45"/>
      <c r="I90" s="62">
        <v>52.64</v>
      </c>
      <c r="J90" s="62">
        <v>4.6871689999999999</v>
      </c>
      <c r="K90" s="62">
        <v>52.64</v>
      </c>
      <c r="L90" s="80"/>
      <c r="M90" s="91"/>
      <c r="N90" s="46"/>
    </row>
    <row r="91" spans="1:14" x14ac:dyDescent="0.25">
      <c r="A91" s="59">
        <v>26054</v>
      </c>
      <c r="B91" s="62"/>
      <c r="C91" s="45"/>
      <c r="D91" s="45"/>
      <c r="F91" s="45"/>
      <c r="G91" s="69" t="str">
        <f ca="1">IF(L90="","",G90+MAX(0,(1+L90)/ROUND(OFFSET(A91,0,FORMULÁRIO!$E$10-1)/OFFSET(A90,0,FORMULÁRIO!$E$10-1),4)-1)+IF(DATE(YEAR(FORMULÁRIO!Q$22),MONTH(FORMULÁRIO!Q$22),1)=TabelaCalculo[[#This Row],[DATA]],M90*(1-DAY(FORMULÁRIO!Q$22))/DAY(EOMONTH(TabelaCalculo[[#This Row],[DATA]],0)),0)+IF(DATE(YEAR(FORMULÁRIO!Q$24),MONTH(FORMULÁRIO!Q$24),1)=TabelaCalculo[[#This Row],[DATA]],M90*(-1+DAY(FORMULÁRIO!Q$24))/DAY(EOMONTH(TabelaCalculo[[#This Row],[DATA]],0)),0))</f>
        <v/>
      </c>
      <c r="H91" s="45"/>
      <c r="I91" s="62">
        <v>53.25</v>
      </c>
      <c r="J91" s="62">
        <v>4.7414849999999999</v>
      </c>
      <c r="K91" s="62">
        <v>53.25</v>
      </c>
      <c r="L91" s="80"/>
      <c r="M91" s="91"/>
      <c r="N91" s="46"/>
    </row>
    <row r="92" spans="1:14" x14ac:dyDescent="0.25">
      <c r="A92" s="59">
        <v>26085</v>
      </c>
      <c r="B92" s="62"/>
      <c r="C92" s="45"/>
      <c r="D92" s="45"/>
      <c r="F92" s="45"/>
      <c r="G92" s="69" t="str">
        <f ca="1">IF(L91="","",G91+MAX(0,(1+L91)/ROUND(OFFSET(A92,0,FORMULÁRIO!$E$10-1)/OFFSET(A91,0,FORMULÁRIO!$E$10-1),4)-1)+IF(DATE(YEAR(FORMULÁRIO!Q$22),MONTH(FORMULÁRIO!Q$22),1)=TabelaCalculo[[#This Row],[DATA]],M91*(1-DAY(FORMULÁRIO!Q$22))/DAY(EOMONTH(TabelaCalculo[[#This Row],[DATA]],0)),0)+IF(DATE(YEAR(FORMULÁRIO!Q$24),MONTH(FORMULÁRIO!Q$24),1)=TabelaCalculo[[#This Row],[DATA]],M91*(-1+DAY(FORMULÁRIO!Q$24))/DAY(EOMONTH(TabelaCalculo[[#This Row],[DATA]],0)),0))</f>
        <v/>
      </c>
      <c r="H92" s="45"/>
      <c r="I92" s="62">
        <v>54.01</v>
      </c>
      <c r="J92" s="62">
        <v>4.8091559999999998</v>
      </c>
      <c r="K92" s="62">
        <v>54.01</v>
      </c>
      <c r="L92" s="80"/>
      <c r="M92" s="91"/>
      <c r="N92" s="46"/>
    </row>
    <row r="93" spans="1:14" x14ac:dyDescent="0.25">
      <c r="A93" s="59">
        <v>26115</v>
      </c>
      <c r="B93" s="62"/>
      <c r="C93" s="45"/>
      <c r="D93" s="45"/>
      <c r="F93" s="45"/>
      <c r="G93" s="69" t="str">
        <f ca="1">IF(L92="","",G92+MAX(0,(1+L92)/ROUND(OFFSET(A93,0,FORMULÁRIO!$E$10-1)/OFFSET(A92,0,FORMULÁRIO!$E$10-1),4)-1)+IF(DATE(YEAR(FORMULÁRIO!Q$22),MONTH(FORMULÁRIO!Q$22),1)=TabelaCalculo[[#This Row],[DATA]],M92*(1-DAY(FORMULÁRIO!Q$22))/DAY(EOMONTH(TabelaCalculo[[#This Row],[DATA]],0)),0)+IF(DATE(YEAR(FORMULÁRIO!Q$24),MONTH(FORMULÁRIO!Q$24),1)=TabelaCalculo[[#This Row],[DATA]],M92*(-1+DAY(FORMULÁRIO!Q$24))/DAY(EOMONTH(TabelaCalculo[[#This Row],[DATA]],0)),0))</f>
        <v/>
      </c>
      <c r="H93" s="45"/>
      <c r="I93" s="62">
        <v>55.08</v>
      </c>
      <c r="J93" s="62">
        <v>4.9044309999999998</v>
      </c>
      <c r="K93" s="62">
        <v>55.08</v>
      </c>
      <c r="L93" s="80"/>
      <c r="M93" s="91"/>
      <c r="N93" s="46"/>
    </row>
    <row r="94" spans="1:14" x14ac:dyDescent="0.25">
      <c r="A94" s="59">
        <v>26146</v>
      </c>
      <c r="B94" s="62"/>
      <c r="C94" s="45"/>
      <c r="D94" s="45"/>
      <c r="F94" s="45"/>
      <c r="G94" s="69" t="str">
        <f ca="1">IF(L93="","",G93+MAX(0,(1+L93)/ROUND(OFFSET(A94,0,FORMULÁRIO!$E$10-1)/OFFSET(A93,0,FORMULÁRIO!$E$10-1),4)-1)+IF(DATE(YEAR(FORMULÁRIO!Q$22),MONTH(FORMULÁRIO!Q$22),1)=TabelaCalculo[[#This Row],[DATA]],M93*(1-DAY(FORMULÁRIO!Q$22))/DAY(EOMONTH(TabelaCalculo[[#This Row],[DATA]],0)),0)+IF(DATE(YEAR(FORMULÁRIO!Q$24),MONTH(FORMULÁRIO!Q$24),1)=TabelaCalculo[[#This Row],[DATA]],M93*(-1+DAY(FORMULÁRIO!Q$24))/DAY(EOMONTH(TabelaCalculo[[#This Row],[DATA]],0)),0))</f>
        <v/>
      </c>
      <c r="H94" s="45"/>
      <c r="I94" s="62">
        <v>56.18</v>
      </c>
      <c r="J94" s="62">
        <v>5.0023770000000001</v>
      </c>
      <c r="K94" s="62">
        <v>56.18</v>
      </c>
      <c r="L94" s="80"/>
      <c r="M94" s="91"/>
      <c r="N94" s="46"/>
    </row>
    <row r="95" spans="1:14" x14ac:dyDescent="0.25">
      <c r="A95" s="59">
        <v>26177</v>
      </c>
      <c r="B95" s="62"/>
      <c r="C95" s="45"/>
      <c r="D95" s="45"/>
      <c r="F95" s="45"/>
      <c r="G95" s="69" t="str">
        <f ca="1">IF(L94="","",G94+MAX(0,(1+L94)/ROUND(OFFSET(A95,0,FORMULÁRIO!$E$10-1)/OFFSET(A94,0,FORMULÁRIO!$E$10-1),4)-1)+IF(DATE(YEAR(FORMULÁRIO!Q$22),MONTH(FORMULÁRIO!Q$22),1)=TabelaCalculo[[#This Row],[DATA]],M94*(1-DAY(FORMULÁRIO!Q$22))/DAY(EOMONTH(TabelaCalculo[[#This Row],[DATA]],0)),0)+IF(DATE(YEAR(FORMULÁRIO!Q$24),MONTH(FORMULÁRIO!Q$24),1)=TabelaCalculo[[#This Row],[DATA]],M94*(-1+DAY(FORMULÁRIO!Q$24))/DAY(EOMONTH(TabelaCalculo[[#This Row],[DATA]],0)),0))</f>
        <v/>
      </c>
      <c r="H95" s="45"/>
      <c r="I95" s="62">
        <v>57.36</v>
      </c>
      <c r="J95" s="62">
        <v>5.1074469999999996</v>
      </c>
      <c r="K95" s="62">
        <v>57.36</v>
      </c>
      <c r="L95" s="80"/>
      <c r="M95" s="91"/>
      <c r="N95" s="46"/>
    </row>
    <row r="96" spans="1:14" x14ac:dyDescent="0.25">
      <c r="A96" s="59">
        <v>26207</v>
      </c>
      <c r="B96" s="62"/>
      <c r="C96" s="45"/>
      <c r="D96" s="45"/>
      <c r="F96" s="45"/>
      <c r="G96" s="69" t="str">
        <f ca="1">IF(L95="","",G95+MAX(0,(1+L95)/ROUND(OFFSET(A96,0,FORMULÁRIO!$E$10-1)/OFFSET(A95,0,FORMULÁRIO!$E$10-1),4)-1)+IF(DATE(YEAR(FORMULÁRIO!Q$22),MONTH(FORMULÁRIO!Q$22),1)=TabelaCalculo[[#This Row],[DATA]],M95*(1-DAY(FORMULÁRIO!Q$22))/DAY(EOMONTH(TabelaCalculo[[#This Row],[DATA]],0)),0)+IF(DATE(YEAR(FORMULÁRIO!Q$24),MONTH(FORMULÁRIO!Q$24),1)=TabelaCalculo[[#This Row],[DATA]],M95*(-1+DAY(FORMULÁRIO!Q$24))/DAY(EOMONTH(TabelaCalculo[[#This Row],[DATA]],0)),0))</f>
        <v/>
      </c>
      <c r="H96" s="45"/>
      <c r="I96" s="62">
        <v>58.61</v>
      </c>
      <c r="J96" s="62">
        <v>5.2187489999999999</v>
      </c>
      <c r="K96" s="62">
        <v>58.61</v>
      </c>
      <c r="L96" s="80"/>
      <c r="M96" s="91"/>
      <c r="N96" s="46"/>
    </row>
    <row r="97" spans="1:14" x14ac:dyDescent="0.25">
      <c r="A97" s="59">
        <v>26238</v>
      </c>
      <c r="B97" s="62"/>
      <c r="C97" s="45"/>
      <c r="D97" s="45"/>
      <c r="F97" s="45"/>
      <c r="G97" s="69" t="str">
        <f ca="1">IF(L96="","",G96+MAX(0,(1+L96)/ROUND(OFFSET(A97,0,FORMULÁRIO!$E$10-1)/OFFSET(A96,0,FORMULÁRIO!$E$10-1),4)-1)+IF(DATE(YEAR(FORMULÁRIO!Q$22),MONTH(FORMULÁRIO!Q$22),1)=TabelaCalculo[[#This Row],[DATA]],M96*(1-DAY(FORMULÁRIO!Q$22))/DAY(EOMONTH(TabelaCalculo[[#This Row],[DATA]],0)),0)+IF(DATE(YEAR(FORMULÁRIO!Q$24),MONTH(FORMULÁRIO!Q$24),1)=TabelaCalculo[[#This Row],[DATA]],M96*(-1+DAY(FORMULÁRIO!Q$24))/DAY(EOMONTH(TabelaCalculo[[#This Row],[DATA]],0)),0))</f>
        <v/>
      </c>
      <c r="H97" s="45"/>
      <c r="I97" s="62">
        <v>59.79</v>
      </c>
      <c r="J97" s="62">
        <v>5.3238190000000003</v>
      </c>
      <c r="K97" s="62">
        <v>59.79</v>
      </c>
      <c r="L97" s="80"/>
      <c r="M97" s="91"/>
      <c r="N97" s="46"/>
    </row>
    <row r="98" spans="1:14" x14ac:dyDescent="0.25">
      <c r="A98" s="59">
        <v>26268</v>
      </c>
      <c r="B98" s="62"/>
      <c r="C98" s="45"/>
      <c r="D98" s="45"/>
      <c r="F98" s="45"/>
      <c r="G98" s="69" t="str">
        <f ca="1">IF(L97="","",G97+MAX(0,(1+L97)/ROUND(OFFSET(A98,0,FORMULÁRIO!$E$10-1)/OFFSET(A97,0,FORMULÁRIO!$E$10-1),4)-1)+IF(DATE(YEAR(FORMULÁRIO!Q$22),MONTH(FORMULÁRIO!Q$22),1)=TabelaCalculo[[#This Row],[DATA]],M97*(1-DAY(FORMULÁRIO!Q$22))/DAY(EOMONTH(TabelaCalculo[[#This Row],[DATA]],0)),0)+IF(DATE(YEAR(FORMULÁRIO!Q$24),MONTH(FORMULÁRIO!Q$24),1)=TabelaCalculo[[#This Row],[DATA]],M97*(-1+DAY(FORMULÁRIO!Q$24))/DAY(EOMONTH(TabelaCalculo[[#This Row],[DATA]],0)),0))</f>
        <v/>
      </c>
      <c r="H98" s="45"/>
      <c r="I98" s="62">
        <v>60.77</v>
      </c>
      <c r="J98" s="62">
        <v>5.4110800000000001</v>
      </c>
      <c r="K98" s="62">
        <v>60.77</v>
      </c>
      <c r="L98" s="80"/>
      <c r="M98" s="91"/>
      <c r="N98" s="46"/>
    </row>
    <row r="99" spans="1:14" x14ac:dyDescent="0.25">
      <c r="A99" s="59">
        <v>26299</v>
      </c>
      <c r="B99" s="62"/>
      <c r="C99" s="45"/>
      <c r="D99" s="45"/>
      <c r="F99" s="45"/>
      <c r="G99" s="69" t="str">
        <f ca="1">IF(L98="","",G98+MAX(0,(1+L98)/ROUND(OFFSET(A99,0,FORMULÁRIO!$E$10-1)/OFFSET(A98,0,FORMULÁRIO!$E$10-1),4)-1)+IF(DATE(YEAR(FORMULÁRIO!Q$22),MONTH(FORMULÁRIO!Q$22),1)=TabelaCalculo[[#This Row],[DATA]],M98*(1-DAY(FORMULÁRIO!Q$22))/DAY(EOMONTH(TabelaCalculo[[#This Row],[DATA]],0)),0)+IF(DATE(YEAR(FORMULÁRIO!Q$24),MONTH(FORMULÁRIO!Q$24),1)=TabelaCalculo[[#This Row],[DATA]],M98*(-1+DAY(FORMULÁRIO!Q$24))/DAY(EOMONTH(TabelaCalculo[[#This Row],[DATA]],0)),0))</f>
        <v/>
      </c>
      <c r="H99" s="45"/>
      <c r="I99" s="62">
        <v>61.52</v>
      </c>
      <c r="J99" s="62">
        <v>5.477862</v>
      </c>
      <c r="K99" s="62">
        <v>61.52</v>
      </c>
      <c r="L99" s="80"/>
      <c r="M99" s="91"/>
      <c r="N99" s="46"/>
    </row>
    <row r="100" spans="1:14" x14ac:dyDescent="0.25">
      <c r="A100" s="59">
        <v>26330</v>
      </c>
      <c r="B100" s="62"/>
      <c r="C100" s="45"/>
      <c r="D100" s="45"/>
      <c r="F100" s="45"/>
      <c r="G100" s="69" t="str">
        <f ca="1">IF(L99="","",G99+MAX(0,(1+L99)/ROUND(OFFSET(A100,0,FORMULÁRIO!$E$10-1)/OFFSET(A99,0,FORMULÁRIO!$E$10-1),4)-1)+IF(DATE(YEAR(FORMULÁRIO!Q$22),MONTH(FORMULÁRIO!Q$22),1)=TabelaCalculo[[#This Row],[DATA]],M99*(1-DAY(FORMULÁRIO!Q$22))/DAY(EOMONTH(TabelaCalculo[[#This Row],[DATA]],0)),0)+IF(DATE(YEAR(FORMULÁRIO!Q$24),MONTH(FORMULÁRIO!Q$24),1)=TabelaCalculo[[#This Row],[DATA]],M99*(-1+DAY(FORMULÁRIO!Q$24))/DAY(EOMONTH(TabelaCalculo[[#This Row],[DATA]],0)),0))</f>
        <v/>
      </c>
      <c r="H100" s="45"/>
      <c r="I100" s="62">
        <v>62.26</v>
      </c>
      <c r="J100" s="62">
        <v>5.5437529999999997</v>
      </c>
      <c r="K100" s="62">
        <v>62.26</v>
      </c>
      <c r="L100" s="80"/>
      <c r="M100" s="91"/>
      <c r="N100" s="46"/>
    </row>
    <row r="101" spans="1:14" x14ac:dyDescent="0.25">
      <c r="A101" s="59">
        <v>26359</v>
      </c>
      <c r="B101" s="62"/>
      <c r="C101" s="45"/>
      <c r="D101" s="45"/>
      <c r="F101" s="45"/>
      <c r="G101" s="69" t="str">
        <f ca="1">IF(L100="","",G100+MAX(0,(1+L100)/ROUND(OFFSET(A101,0,FORMULÁRIO!$E$10-1)/OFFSET(A100,0,FORMULÁRIO!$E$10-1),4)-1)+IF(DATE(YEAR(FORMULÁRIO!Q$22),MONTH(FORMULÁRIO!Q$22),1)=TabelaCalculo[[#This Row],[DATA]],M100*(1-DAY(FORMULÁRIO!Q$22))/DAY(EOMONTH(TabelaCalculo[[#This Row],[DATA]],0)),0)+IF(DATE(YEAR(FORMULÁRIO!Q$24),MONTH(FORMULÁRIO!Q$24),1)=TabelaCalculo[[#This Row],[DATA]],M100*(-1+DAY(FORMULÁRIO!Q$24))/DAY(EOMONTH(TabelaCalculo[[#This Row],[DATA]],0)),0))</f>
        <v/>
      </c>
      <c r="H101" s="45"/>
      <c r="I101" s="62">
        <v>63.09</v>
      </c>
      <c r="J101" s="62">
        <v>5.6176570000000003</v>
      </c>
      <c r="K101" s="62">
        <v>63.09</v>
      </c>
      <c r="L101" s="80"/>
      <c r="M101" s="91"/>
      <c r="N101" s="46"/>
    </row>
    <row r="102" spans="1:14" x14ac:dyDescent="0.25">
      <c r="A102" s="59">
        <v>26390</v>
      </c>
      <c r="B102" s="62"/>
      <c r="C102" s="45"/>
      <c r="D102" s="45"/>
      <c r="F102" s="45"/>
      <c r="G102" s="69" t="str">
        <f ca="1">IF(L101="","",G101+MAX(0,(1+L101)/ROUND(OFFSET(A102,0,FORMULÁRIO!$E$10-1)/OFFSET(A101,0,FORMULÁRIO!$E$10-1),4)-1)+IF(DATE(YEAR(FORMULÁRIO!Q$22),MONTH(FORMULÁRIO!Q$22),1)=TabelaCalculo[[#This Row],[DATA]],M101*(1-DAY(FORMULÁRIO!Q$22))/DAY(EOMONTH(TabelaCalculo[[#This Row],[DATA]],0)),0)+IF(DATE(YEAR(FORMULÁRIO!Q$24),MONTH(FORMULÁRIO!Q$24),1)=TabelaCalculo[[#This Row],[DATA]],M101*(-1+DAY(FORMULÁRIO!Q$24))/DAY(EOMONTH(TabelaCalculo[[#This Row],[DATA]],0)),0))</f>
        <v/>
      </c>
      <c r="H102" s="45"/>
      <c r="I102" s="62">
        <v>63.81</v>
      </c>
      <c r="J102" s="62">
        <v>5.6817679999999999</v>
      </c>
      <c r="K102" s="62">
        <v>63.81</v>
      </c>
      <c r="L102" s="80"/>
      <c r="M102" s="91"/>
      <c r="N102" s="46"/>
    </row>
    <row r="103" spans="1:14" x14ac:dyDescent="0.25">
      <c r="A103" s="59">
        <v>26420</v>
      </c>
      <c r="B103" s="62"/>
      <c r="C103" s="45"/>
      <c r="D103" s="45"/>
      <c r="F103" s="45"/>
      <c r="G103" s="69" t="str">
        <f ca="1">IF(L102="","",G102+MAX(0,(1+L102)/ROUND(OFFSET(A103,0,FORMULÁRIO!$E$10-1)/OFFSET(A102,0,FORMULÁRIO!$E$10-1),4)-1)+IF(DATE(YEAR(FORMULÁRIO!Q$22),MONTH(FORMULÁRIO!Q$22),1)=TabelaCalculo[[#This Row],[DATA]],M102*(1-DAY(FORMULÁRIO!Q$22))/DAY(EOMONTH(TabelaCalculo[[#This Row],[DATA]],0)),0)+IF(DATE(YEAR(FORMULÁRIO!Q$24),MONTH(FORMULÁRIO!Q$24),1)=TabelaCalculo[[#This Row],[DATA]],M102*(-1+DAY(FORMULÁRIO!Q$24))/DAY(EOMONTH(TabelaCalculo[[#This Row],[DATA]],0)),0))</f>
        <v/>
      </c>
      <c r="H103" s="45"/>
      <c r="I103" s="62">
        <v>64.66</v>
      </c>
      <c r="J103" s="62">
        <v>5.7574529999999999</v>
      </c>
      <c r="K103" s="62">
        <v>64.66</v>
      </c>
      <c r="L103" s="80"/>
      <c r="M103" s="91"/>
      <c r="N103" s="46"/>
    </row>
    <row r="104" spans="1:14" x14ac:dyDescent="0.25">
      <c r="A104" s="59">
        <v>26451</v>
      </c>
      <c r="B104" s="62"/>
      <c r="C104" s="45"/>
      <c r="D104" s="45"/>
      <c r="F104" s="45"/>
      <c r="G104" s="69" t="str">
        <f ca="1">IF(L103="","",G103+MAX(0,(1+L103)/ROUND(OFFSET(A104,0,FORMULÁRIO!$E$10-1)/OFFSET(A103,0,FORMULÁRIO!$E$10-1),4)-1)+IF(DATE(YEAR(FORMULÁRIO!Q$22),MONTH(FORMULÁRIO!Q$22),1)=TabelaCalculo[[#This Row],[DATA]],M103*(1-DAY(FORMULÁRIO!Q$22))/DAY(EOMONTH(TabelaCalculo[[#This Row],[DATA]],0)),0)+IF(DATE(YEAR(FORMULÁRIO!Q$24),MONTH(FORMULÁRIO!Q$24),1)=TabelaCalculo[[#This Row],[DATA]],M103*(-1+DAY(FORMULÁRIO!Q$24))/DAY(EOMONTH(TabelaCalculo[[#This Row],[DATA]],0)),0))</f>
        <v/>
      </c>
      <c r="H104" s="45"/>
      <c r="I104" s="62">
        <v>65.75</v>
      </c>
      <c r="J104" s="62">
        <v>5.8545090000000002</v>
      </c>
      <c r="K104" s="62">
        <v>65.75</v>
      </c>
      <c r="L104" s="80"/>
      <c r="M104" s="91"/>
      <c r="N104" s="46"/>
    </row>
    <row r="105" spans="1:14" x14ac:dyDescent="0.25">
      <c r="A105" s="59">
        <v>26481</v>
      </c>
      <c r="B105" s="62"/>
      <c r="C105" s="45"/>
      <c r="D105" s="45"/>
      <c r="F105" s="45"/>
      <c r="G105" s="69" t="str">
        <f ca="1">IF(L104="","",G104+MAX(0,(1+L104)/ROUND(OFFSET(A105,0,FORMULÁRIO!$E$10-1)/OFFSET(A104,0,FORMULÁRIO!$E$10-1),4)-1)+IF(DATE(YEAR(FORMULÁRIO!Q$22),MONTH(FORMULÁRIO!Q$22),1)=TabelaCalculo[[#This Row],[DATA]],M104*(1-DAY(FORMULÁRIO!Q$22))/DAY(EOMONTH(TabelaCalculo[[#This Row],[DATA]],0)),0)+IF(DATE(YEAR(FORMULÁRIO!Q$24),MONTH(FORMULÁRIO!Q$24),1)=TabelaCalculo[[#This Row],[DATA]],M104*(-1+DAY(FORMULÁRIO!Q$24))/DAY(EOMONTH(TabelaCalculo[[#This Row],[DATA]],0)),0))</f>
        <v/>
      </c>
      <c r="H105" s="45"/>
      <c r="I105" s="62">
        <v>66.930000000000007</v>
      </c>
      <c r="J105" s="62">
        <v>5.9595789999999997</v>
      </c>
      <c r="K105" s="62">
        <v>66.930000000000007</v>
      </c>
      <c r="L105" s="80"/>
      <c r="M105" s="91"/>
      <c r="N105" s="46"/>
    </row>
    <row r="106" spans="1:14" x14ac:dyDescent="0.25">
      <c r="A106" s="59">
        <v>26512</v>
      </c>
      <c r="B106" s="62"/>
      <c r="C106" s="45"/>
      <c r="D106" s="45"/>
      <c r="F106" s="45"/>
      <c r="G106" s="69" t="str">
        <f ca="1">IF(L105="","",G105+MAX(0,(1+L105)/ROUND(OFFSET(A106,0,FORMULÁRIO!$E$10-1)/OFFSET(A105,0,FORMULÁRIO!$E$10-1),4)-1)+IF(DATE(YEAR(FORMULÁRIO!Q$22),MONTH(FORMULÁRIO!Q$22),1)=TabelaCalculo[[#This Row],[DATA]],M105*(1-DAY(FORMULÁRIO!Q$22))/DAY(EOMONTH(TabelaCalculo[[#This Row],[DATA]],0)),0)+IF(DATE(YEAR(FORMULÁRIO!Q$24),MONTH(FORMULÁRIO!Q$24),1)=TabelaCalculo[[#This Row],[DATA]],M105*(-1+DAY(FORMULÁRIO!Q$24))/DAY(EOMONTH(TabelaCalculo[[#This Row],[DATA]],0)),0))</f>
        <v/>
      </c>
      <c r="H106" s="45"/>
      <c r="I106" s="62">
        <v>67.89</v>
      </c>
      <c r="J106" s="62">
        <v>6.0450590000000002</v>
      </c>
      <c r="K106" s="62">
        <v>67.89</v>
      </c>
      <c r="L106" s="80"/>
      <c r="M106" s="91"/>
      <c r="N106" s="46"/>
    </row>
    <row r="107" spans="1:14" x14ac:dyDescent="0.25">
      <c r="A107" s="59">
        <v>26543</v>
      </c>
      <c r="B107" s="62"/>
      <c r="C107" s="45"/>
      <c r="D107" s="45"/>
      <c r="F107" s="45"/>
      <c r="G107" s="69" t="str">
        <f ca="1">IF(L106="","",G106+MAX(0,(1+L106)/ROUND(OFFSET(A107,0,FORMULÁRIO!$E$10-1)/OFFSET(A106,0,FORMULÁRIO!$E$10-1),4)-1)+IF(DATE(YEAR(FORMULÁRIO!Q$22),MONTH(FORMULÁRIO!Q$22),1)=TabelaCalculo[[#This Row],[DATA]],M106*(1-DAY(FORMULÁRIO!Q$22))/DAY(EOMONTH(TabelaCalculo[[#This Row],[DATA]],0)),0)+IF(DATE(YEAR(FORMULÁRIO!Q$24),MONTH(FORMULÁRIO!Q$24),1)=TabelaCalculo[[#This Row],[DATA]],M106*(-1+DAY(FORMULÁRIO!Q$24))/DAY(EOMONTH(TabelaCalculo[[#This Row],[DATA]],0)),0))</f>
        <v/>
      </c>
      <c r="H107" s="45"/>
      <c r="I107" s="62">
        <v>68.459999999999994</v>
      </c>
      <c r="J107" s="62">
        <v>6.0958129999999997</v>
      </c>
      <c r="K107" s="62">
        <v>68.459999999999994</v>
      </c>
      <c r="L107" s="80"/>
      <c r="M107" s="91"/>
      <c r="N107" s="46"/>
    </row>
    <row r="108" spans="1:14" x14ac:dyDescent="0.25">
      <c r="A108" s="59">
        <v>26573</v>
      </c>
      <c r="B108" s="62"/>
      <c r="C108" s="45"/>
      <c r="D108" s="45"/>
      <c r="F108" s="45"/>
      <c r="G108" s="69" t="str">
        <f ca="1">IF(L107="","",G107+MAX(0,(1+L107)/ROUND(OFFSET(A108,0,FORMULÁRIO!$E$10-1)/OFFSET(A107,0,FORMULÁRIO!$E$10-1),4)-1)+IF(DATE(YEAR(FORMULÁRIO!Q$22),MONTH(FORMULÁRIO!Q$22),1)=TabelaCalculo[[#This Row],[DATA]],M107*(1-DAY(FORMULÁRIO!Q$22))/DAY(EOMONTH(TabelaCalculo[[#This Row],[DATA]],0)),0)+IF(DATE(YEAR(FORMULÁRIO!Q$24),MONTH(FORMULÁRIO!Q$24),1)=TabelaCalculo[[#This Row],[DATA]],M107*(-1+DAY(FORMULÁRIO!Q$24))/DAY(EOMONTH(TabelaCalculo[[#This Row],[DATA]],0)),0))</f>
        <v/>
      </c>
      <c r="H108" s="45"/>
      <c r="I108" s="62">
        <v>68.95</v>
      </c>
      <c r="J108" s="62">
        <v>6.139443</v>
      </c>
      <c r="K108" s="62">
        <v>68.95</v>
      </c>
      <c r="L108" s="80"/>
      <c r="M108" s="91"/>
      <c r="N108" s="46"/>
    </row>
    <row r="109" spans="1:14" x14ac:dyDescent="0.25">
      <c r="A109" s="59">
        <v>26604</v>
      </c>
      <c r="B109" s="62"/>
      <c r="C109" s="45"/>
      <c r="D109" s="45"/>
      <c r="F109" s="45"/>
      <c r="G109" s="69" t="str">
        <f ca="1">IF(L108="","",G108+MAX(0,(1+L108)/ROUND(OFFSET(A109,0,FORMULÁRIO!$E$10-1)/OFFSET(A108,0,FORMULÁRIO!$E$10-1),4)-1)+IF(DATE(YEAR(FORMULÁRIO!Q$22),MONTH(FORMULÁRIO!Q$22),1)=TabelaCalculo[[#This Row],[DATA]],M108*(1-DAY(FORMULÁRIO!Q$22))/DAY(EOMONTH(TabelaCalculo[[#This Row],[DATA]],0)),0)+IF(DATE(YEAR(FORMULÁRIO!Q$24),MONTH(FORMULÁRIO!Q$24),1)=TabelaCalculo[[#This Row],[DATA]],M108*(-1+DAY(FORMULÁRIO!Q$24))/DAY(EOMONTH(TabelaCalculo[[#This Row],[DATA]],0)),0))</f>
        <v/>
      </c>
      <c r="H109" s="45"/>
      <c r="I109" s="62">
        <v>69.61</v>
      </c>
      <c r="J109" s="62">
        <v>6.1982109999999997</v>
      </c>
      <c r="K109" s="62">
        <v>69.61</v>
      </c>
      <c r="L109" s="80"/>
      <c r="M109" s="91"/>
      <c r="N109" s="46"/>
    </row>
    <row r="110" spans="1:14" x14ac:dyDescent="0.25">
      <c r="A110" s="59">
        <v>26634</v>
      </c>
      <c r="B110" s="62"/>
      <c r="C110" s="45"/>
      <c r="D110" s="45"/>
      <c r="F110" s="45"/>
      <c r="G110" s="69" t="str">
        <f ca="1">IF(L109="","",G109+MAX(0,(1+L109)/ROUND(OFFSET(A110,0,FORMULÁRIO!$E$10-1)/OFFSET(A109,0,FORMULÁRIO!$E$10-1),4)-1)+IF(DATE(YEAR(FORMULÁRIO!Q$22),MONTH(FORMULÁRIO!Q$22),1)=TabelaCalculo[[#This Row],[DATA]],M109*(1-DAY(FORMULÁRIO!Q$22))/DAY(EOMONTH(TabelaCalculo[[#This Row],[DATA]],0)),0)+IF(DATE(YEAR(FORMULÁRIO!Q$24),MONTH(FORMULÁRIO!Q$24),1)=TabelaCalculo[[#This Row],[DATA]],M109*(-1+DAY(FORMULÁRIO!Q$24))/DAY(EOMONTH(TabelaCalculo[[#This Row],[DATA]],0)),0))</f>
        <v/>
      </c>
      <c r="H110" s="45"/>
      <c r="I110" s="62">
        <v>70.069999999999993</v>
      </c>
      <c r="J110" s="62">
        <v>6.2391699999999997</v>
      </c>
      <c r="K110" s="62">
        <v>70.069999999999993</v>
      </c>
      <c r="L110" s="80"/>
      <c r="M110" s="91"/>
      <c r="N110" s="46"/>
    </row>
    <row r="111" spans="1:14" x14ac:dyDescent="0.25">
      <c r="A111" s="59">
        <v>26665</v>
      </c>
      <c r="B111" s="62"/>
      <c r="C111" s="45"/>
      <c r="D111" s="45"/>
      <c r="F111" s="45"/>
      <c r="G111" s="69" t="str">
        <f ca="1">IF(L110="","",G110+MAX(0,(1+L110)/ROUND(OFFSET(A111,0,FORMULÁRIO!$E$10-1)/OFFSET(A110,0,FORMULÁRIO!$E$10-1),4)-1)+IF(DATE(YEAR(FORMULÁRIO!Q$22),MONTH(FORMULÁRIO!Q$22),1)=TabelaCalculo[[#This Row],[DATA]],M110*(1-DAY(FORMULÁRIO!Q$22))/DAY(EOMONTH(TabelaCalculo[[#This Row],[DATA]],0)),0)+IF(DATE(YEAR(FORMULÁRIO!Q$24),MONTH(FORMULÁRIO!Q$24),1)=TabelaCalculo[[#This Row],[DATA]],M110*(-1+DAY(FORMULÁRIO!Q$24))/DAY(EOMONTH(TabelaCalculo[[#This Row],[DATA]],0)),0))</f>
        <v/>
      </c>
      <c r="H111" s="45"/>
      <c r="I111" s="62">
        <v>70.87</v>
      </c>
      <c r="J111" s="62">
        <v>6.3104040000000001</v>
      </c>
      <c r="K111" s="62">
        <v>70.87</v>
      </c>
      <c r="L111" s="80"/>
      <c r="M111" s="91"/>
      <c r="N111" s="46"/>
    </row>
    <row r="112" spans="1:14" x14ac:dyDescent="0.25">
      <c r="A112" s="59">
        <v>26696</v>
      </c>
      <c r="B112" s="62"/>
      <c r="C112" s="45"/>
      <c r="D112" s="45"/>
      <c r="F112" s="45"/>
      <c r="G112" s="69" t="str">
        <f ca="1">IF(L111="","",G111+MAX(0,(1+L111)/ROUND(OFFSET(A112,0,FORMULÁRIO!$E$10-1)/OFFSET(A111,0,FORMULÁRIO!$E$10-1),4)-1)+IF(DATE(YEAR(FORMULÁRIO!Q$22),MONTH(FORMULÁRIO!Q$22),1)=TabelaCalculo[[#This Row],[DATA]],M111*(1-DAY(FORMULÁRIO!Q$22))/DAY(EOMONTH(TabelaCalculo[[#This Row],[DATA]],0)),0)+IF(DATE(YEAR(FORMULÁRIO!Q$24),MONTH(FORMULÁRIO!Q$24),1)=TabelaCalculo[[#This Row],[DATA]],M111*(-1+DAY(FORMULÁRIO!Q$24))/DAY(EOMONTH(TabelaCalculo[[#This Row],[DATA]],0)),0))</f>
        <v/>
      </c>
      <c r="H112" s="45"/>
      <c r="I112" s="62">
        <v>71.569999999999993</v>
      </c>
      <c r="J112" s="62">
        <v>6.3727330000000002</v>
      </c>
      <c r="K112" s="62">
        <v>71.569999999999993</v>
      </c>
      <c r="L112" s="80"/>
      <c r="M112" s="91"/>
      <c r="N112" s="46"/>
    </row>
    <row r="113" spans="1:14" x14ac:dyDescent="0.25">
      <c r="A113" s="59">
        <v>26724</v>
      </c>
      <c r="B113" s="62"/>
      <c r="C113" s="45"/>
      <c r="D113" s="45"/>
      <c r="F113" s="45"/>
      <c r="G113" s="69" t="str">
        <f ca="1">IF(L112="","",G112+MAX(0,(1+L112)/ROUND(OFFSET(A113,0,FORMULÁRIO!$E$10-1)/OFFSET(A112,0,FORMULÁRIO!$E$10-1),4)-1)+IF(DATE(YEAR(FORMULÁRIO!Q$22),MONTH(FORMULÁRIO!Q$22),1)=TabelaCalculo[[#This Row],[DATA]],M112*(1-DAY(FORMULÁRIO!Q$22))/DAY(EOMONTH(TabelaCalculo[[#This Row],[DATA]],0)),0)+IF(DATE(YEAR(FORMULÁRIO!Q$24),MONTH(FORMULÁRIO!Q$24),1)=TabelaCalculo[[#This Row],[DATA]],M112*(-1+DAY(FORMULÁRIO!Q$24))/DAY(EOMONTH(TabelaCalculo[[#This Row],[DATA]],0)),0))</f>
        <v/>
      </c>
      <c r="H113" s="45"/>
      <c r="I113" s="62">
        <v>72.319999999999993</v>
      </c>
      <c r="J113" s="62">
        <v>6.4395150000000001</v>
      </c>
      <c r="K113" s="62">
        <v>72.319999999999993</v>
      </c>
      <c r="L113" s="80"/>
      <c r="M113" s="91"/>
      <c r="N113" s="46"/>
    </row>
    <row r="114" spans="1:14" x14ac:dyDescent="0.25">
      <c r="A114" s="59">
        <v>26755</v>
      </c>
      <c r="B114" s="62"/>
      <c r="C114" s="45"/>
      <c r="D114" s="45"/>
      <c r="F114" s="45"/>
      <c r="G114" s="69" t="str">
        <f ca="1">IF(L113="","",G113+MAX(0,(1+L113)/ROUND(OFFSET(A114,0,FORMULÁRIO!$E$10-1)/OFFSET(A113,0,FORMULÁRIO!$E$10-1),4)-1)+IF(DATE(YEAR(FORMULÁRIO!Q$22),MONTH(FORMULÁRIO!Q$22),1)=TabelaCalculo[[#This Row],[DATA]],M113*(1-DAY(FORMULÁRIO!Q$22))/DAY(EOMONTH(TabelaCalculo[[#This Row],[DATA]],0)),0)+IF(DATE(YEAR(FORMULÁRIO!Q$24),MONTH(FORMULÁRIO!Q$24),1)=TabelaCalculo[[#This Row],[DATA]],M113*(-1+DAY(FORMULÁRIO!Q$24))/DAY(EOMONTH(TabelaCalculo[[#This Row],[DATA]],0)),0))</f>
        <v/>
      </c>
      <c r="H114" s="45"/>
      <c r="I114" s="62">
        <v>73.19</v>
      </c>
      <c r="J114" s="62">
        <v>6.5169810000000004</v>
      </c>
      <c r="K114" s="62">
        <v>73.19</v>
      </c>
      <c r="L114" s="80"/>
      <c r="M114" s="91"/>
      <c r="N114" s="46"/>
    </row>
    <row r="115" spans="1:14" x14ac:dyDescent="0.25">
      <c r="A115" s="59">
        <v>26785</v>
      </c>
      <c r="B115" s="62"/>
      <c r="C115" s="45"/>
      <c r="D115" s="45"/>
      <c r="F115" s="45"/>
      <c r="G115" s="69" t="str">
        <f ca="1">IF(L114="","",G114+MAX(0,(1+L114)/ROUND(OFFSET(A115,0,FORMULÁRIO!$E$10-1)/OFFSET(A114,0,FORMULÁRIO!$E$10-1),4)-1)+IF(DATE(YEAR(FORMULÁRIO!Q$22),MONTH(FORMULÁRIO!Q$22),1)=TabelaCalculo[[#This Row],[DATA]],M114*(1-DAY(FORMULÁRIO!Q$22))/DAY(EOMONTH(TabelaCalculo[[#This Row],[DATA]],0)),0)+IF(DATE(YEAR(FORMULÁRIO!Q$24),MONTH(FORMULÁRIO!Q$24),1)=TabelaCalculo[[#This Row],[DATA]],M114*(-1+DAY(FORMULÁRIO!Q$24))/DAY(EOMONTH(TabelaCalculo[[#This Row],[DATA]],0)),0))</f>
        <v/>
      </c>
      <c r="H115" s="45"/>
      <c r="I115" s="62">
        <v>74.03</v>
      </c>
      <c r="J115" s="62">
        <v>6.5917770000000004</v>
      </c>
      <c r="K115" s="62">
        <v>74.03</v>
      </c>
      <c r="L115" s="80"/>
      <c r="M115" s="91"/>
      <c r="N115" s="46"/>
    </row>
    <row r="116" spans="1:14" x14ac:dyDescent="0.25">
      <c r="A116" s="59">
        <v>26816</v>
      </c>
      <c r="B116" s="62"/>
      <c r="C116" s="45"/>
      <c r="D116" s="45"/>
      <c r="F116" s="45"/>
      <c r="G116" s="69" t="str">
        <f ca="1">IF(L115="","",G115+MAX(0,(1+L115)/ROUND(OFFSET(A116,0,FORMULÁRIO!$E$10-1)/OFFSET(A115,0,FORMULÁRIO!$E$10-1),4)-1)+IF(DATE(YEAR(FORMULÁRIO!Q$22),MONTH(FORMULÁRIO!Q$22),1)=TabelaCalculo[[#This Row],[DATA]],M115*(1-DAY(FORMULÁRIO!Q$22))/DAY(EOMONTH(TabelaCalculo[[#This Row],[DATA]],0)),0)+IF(DATE(YEAR(FORMULÁRIO!Q$24),MONTH(FORMULÁRIO!Q$24),1)=TabelaCalculo[[#This Row],[DATA]],M115*(-1+DAY(FORMULÁRIO!Q$24))/DAY(EOMONTH(TabelaCalculo[[#This Row],[DATA]],0)),0))</f>
        <v/>
      </c>
      <c r="H116" s="45"/>
      <c r="I116" s="62">
        <v>74.97</v>
      </c>
      <c r="J116" s="62">
        <v>6.6754759999999997</v>
      </c>
      <c r="K116" s="62">
        <v>74.97</v>
      </c>
      <c r="L116" s="80"/>
      <c r="M116" s="91"/>
      <c r="N116" s="46"/>
    </row>
    <row r="117" spans="1:14" x14ac:dyDescent="0.25">
      <c r="A117" s="59">
        <v>26846</v>
      </c>
      <c r="B117" s="62"/>
      <c r="C117" s="45"/>
      <c r="D117" s="45"/>
      <c r="F117" s="45"/>
      <c r="G117" s="69" t="str">
        <f ca="1">IF(L116="","",G116+MAX(0,(1+L116)/ROUND(OFFSET(A117,0,FORMULÁRIO!$E$10-1)/OFFSET(A116,0,FORMULÁRIO!$E$10-1),4)-1)+IF(DATE(YEAR(FORMULÁRIO!Q$22),MONTH(FORMULÁRIO!Q$22),1)=TabelaCalculo[[#This Row],[DATA]],M116*(1-DAY(FORMULÁRIO!Q$22))/DAY(EOMONTH(TabelaCalculo[[#This Row],[DATA]],0)),0)+IF(DATE(YEAR(FORMULÁRIO!Q$24),MONTH(FORMULÁRIO!Q$24),1)=TabelaCalculo[[#This Row],[DATA]],M116*(-1+DAY(FORMULÁRIO!Q$24))/DAY(EOMONTH(TabelaCalculo[[#This Row],[DATA]],0)),0))</f>
        <v/>
      </c>
      <c r="H117" s="45"/>
      <c r="I117" s="62">
        <v>75.8</v>
      </c>
      <c r="J117" s="62">
        <v>6.7493809999999996</v>
      </c>
      <c r="K117" s="62">
        <v>75.8</v>
      </c>
      <c r="L117" s="80"/>
      <c r="M117" s="91"/>
      <c r="N117" s="46"/>
    </row>
    <row r="118" spans="1:14" x14ac:dyDescent="0.25">
      <c r="A118" s="59">
        <v>26877</v>
      </c>
      <c r="B118" s="62"/>
      <c r="C118" s="45"/>
      <c r="D118" s="45"/>
      <c r="F118" s="45"/>
      <c r="G118" s="69" t="str">
        <f ca="1">IF(L117="","",G117+MAX(0,(1+L117)/ROUND(OFFSET(A118,0,FORMULÁRIO!$E$10-1)/OFFSET(A117,0,FORMULÁRIO!$E$10-1),4)-1)+IF(DATE(YEAR(FORMULÁRIO!Q$22),MONTH(FORMULÁRIO!Q$22),1)=TabelaCalculo[[#This Row],[DATA]],M117*(1-DAY(FORMULÁRIO!Q$22))/DAY(EOMONTH(TabelaCalculo[[#This Row],[DATA]],0)),0)+IF(DATE(YEAR(FORMULÁRIO!Q$24),MONTH(FORMULÁRIO!Q$24),1)=TabelaCalculo[[#This Row],[DATA]],M117*(-1+DAY(FORMULÁRIO!Q$24))/DAY(EOMONTH(TabelaCalculo[[#This Row],[DATA]],0)),0))</f>
        <v/>
      </c>
      <c r="H118" s="45"/>
      <c r="I118" s="62">
        <v>76.48</v>
      </c>
      <c r="J118" s="62">
        <v>6.8099290000000003</v>
      </c>
      <c r="K118" s="62">
        <v>76.48</v>
      </c>
      <c r="L118" s="80"/>
      <c r="M118" s="91"/>
      <c r="N118" s="46"/>
    </row>
    <row r="119" spans="1:14" x14ac:dyDescent="0.25">
      <c r="A119" s="59">
        <v>26908</v>
      </c>
      <c r="B119" s="62"/>
      <c r="C119" s="45"/>
      <c r="D119" s="45"/>
      <c r="F119" s="45"/>
      <c r="G119" s="69" t="str">
        <f ca="1">IF(L118="","",G118+MAX(0,(1+L118)/ROUND(OFFSET(A119,0,FORMULÁRIO!$E$10-1)/OFFSET(A118,0,FORMULÁRIO!$E$10-1),4)-1)+IF(DATE(YEAR(FORMULÁRIO!Q$22),MONTH(FORMULÁRIO!Q$22),1)=TabelaCalculo[[#This Row],[DATA]],M118*(1-DAY(FORMULÁRIO!Q$22))/DAY(EOMONTH(TabelaCalculo[[#This Row],[DATA]],0)),0)+IF(DATE(YEAR(FORMULÁRIO!Q$24),MONTH(FORMULÁRIO!Q$24),1)=TabelaCalculo[[#This Row],[DATA]],M118*(-1+DAY(FORMULÁRIO!Q$24))/DAY(EOMONTH(TabelaCalculo[[#This Row],[DATA]],0)),0))</f>
        <v/>
      </c>
      <c r="H119" s="45"/>
      <c r="I119" s="62">
        <v>77.12</v>
      </c>
      <c r="J119" s="62">
        <v>6.8669159999999998</v>
      </c>
      <c r="K119" s="62">
        <v>77.12</v>
      </c>
      <c r="L119" s="80"/>
      <c r="M119" s="91"/>
      <c r="N119" s="46"/>
    </row>
    <row r="120" spans="1:14" x14ac:dyDescent="0.25">
      <c r="A120" s="59">
        <v>26938</v>
      </c>
      <c r="B120" s="62"/>
      <c r="C120" s="45"/>
      <c r="D120" s="45"/>
      <c r="F120" s="45"/>
      <c r="G120" s="69" t="str">
        <f ca="1">IF(L119="","",G119+MAX(0,(1+L119)/ROUND(OFFSET(A120,0,FORMULÁRIO!$E$10-1)/OFFSET(A119,0,FORMULÁRIO!$E$10-1),4)-1)+IF(DATE(YEAR(FORMULÁRIO!Q$22),MONTH(FORMULÁRIO!Q$22),1)=TabelaCalculo[[#This Row],[DATA]],M119*(1-DAY(FORMULÁRIO!Q$22))/DAY(EOMONTH(TabelaCalculo[[#This Row],[DATA]],0)),0)+IF(DATE(YEAR(FORMULÁRIO!Q$24),MONTH(FORMULÁRIO!Q$24),1)=TabelaCalculo[[#This Row],[DATA]],M119*(-1+DAY(FORMULÁRIO!Q$24))/DAY(EOMONTH(TabelaCalculo[[#This Row],[DATA]],0)),0))</f>
        <v/>
      </c>
      <c r="H120" s="45"/>
      <c r="I120" s="62">
        <v>77.87</v>
      </c>
      <c r="J120" s="62">
        <v>6.9336979999999997</v>
      </c>
      <c r="K120" s="62">
        <v>77.87</v>
      </c>
      <c r="L120" s="80"/>
      <c r="M120" s="91"/>
      <c r="N120" s="46"/>
    </row>
    <row r="121" spans="1:14" x14ac:dyDescent="0.25">
      <c r="A121" s="59">
        <v>26969</v>
      </c>
      <c r="B121" s="62"/>
      <c r="C121" s="45"/>
      <c r="D121" s="45"/>
      <c r="F121" s="45"/>
      <c r="G121" s="69" t="str">
        <f ca="1">IF(L120="","",G120+MAX(0,(1+L120)/ROUND(OFFSET(A121,0,FORMULÁRIO!$E$10-1)/OFFSET(A120,0,FORMULÁRIO!$E$10-1),4)-1)+IF(DATE(YEAR(FORMULÁRIO!Q$22),MONTH(FORMULÁRIO!Q$22),1)=TabelaCalculo[[#This Row],[DATA]],M120*(1-DAY(FORMULÁRIO!Q$22))/DAY(EOMONTH(TabelaCalculo[[#This Row],[DATA]],0)),0)+IF(DATE(YEAR(FORMULÁRIO!Q$24),MONTH(FORMULÁRIO!Q$24),1)=TabelaCalculo[[#This Row],[DATA]],M120*(-1+DAY(FORMULÁRIO!Q$24))/DAY(EOMONTH(TabelaCalculo[[#This Row],[DATA]],0)),0))</f>
        <v/>
      </c>
      <c r="H121" s="45"/>
      <c r="I121" s="62">
        <v>78.400000000000006</v>
      </c>
      <c r="J121" s="62">
        <v>6.9808899999999996</v>
      </c>
      <c r="K121" s="62">
        <v>78.400000000000006</v>
      </c>
      <c r="L121" s="80"/>
      <c r="M121" s="91"/>
      <c r="N121" s="46"/>
    </row>
    <row r="122" spans="1:14" x14ac:dyDescent="0.25">
      <c r="A122" s="59">
        <v>26999</v>
      </c>
      <c r="B122" s="62"/>
      <c r="C122" s="45"/>
      <c r="D122" s="45"/>
      <c r="F122" s="45"/>
      <c r="G122" s="69" t="str">
        <f ca="1">IF(L121="","",G121+MAX(0,(1+L121)/ROUND(OFFSET(A122,0,FORMULÁRIO!$E$10-1)/OFFSET(A121,0,FORMULÁRIO!$E$10-1),4)-1)+IF(DATE(YEAR(FORMULÁRIO!Q$22),MONTH(FORMULÁRIO!Q$22),1)=TabelaCalculo[[#This Row],[DATA]],M121*(1-DAY(FORMULÁRIO!Q$22))/DAY(EOMONTH(TabelaCalculo[[#This Row],[DATA]],0)),0)+IF(DATE(YEAR(FORMULÁRIO!Q$24),MONTH(FORMULÁRIO!Q$24),1)=TabelaCalculo[[#This Row],[DATA]],M121*(-1+DAY(FORMULÁRIO!Q$24))/DAY(EOMONTH(TabelaCalculo[[#This Row],[DATA]],0)),0))</f>
        <v/>
      </c>
      <c r="H122" s="45"/>
      <c r="I122" s="62">
        <v>79.069999999999993</v>
      </c>
      <c r="J122" s="62">
        <v>7.0405480000000003</v>
      </c>
      <c r="K122" s="62">
        <v>79.069999999999993</v>
      </c>
      <c r="L122" s="80"/>
      <c r="M122" s="91"/>
      <c r="N122" s="46"/>
    </row>
    <row r="123" spans="1:14" x14ac:dyDescent="0.25">
      <c r="A123" s="59">
        <v>27030</v>
      </c>
      <c r="B123" s="62"/>
      <c r="C123" s="45"/>
      <c r="D123" s="45"/>
      <c r="F123" s="45"/>
      <c r="G123" s="69" t="str">
        <f ca="1">IF(L122="","",G122+MAX(0,(1+L122)/ROUND(OFFSET(A123,0,FORMULÁRIO!$E$10-1)/OFFSET(A122,0,FORMULÁRIO!$E$10-1),4)-1)+IF(DATE(YEAR(FORMULÁRIO!Q$22),MONTH(FORMULÁRIO!Q$22),1)=TabelaCalculo[[#This Row],[DATA]],M122*(1-DAY(FORMULÁRIO!Q$22))/DAY(EOMONTH(TabelaCalculo[[#This Row],[DATA]],0)),0)+IF(DATE(YEAR(FORMULÁRIO!Q$24),MONTH(FORMULÁRIO!Q$24),1)=TabelaCalculo[[#This Row],[DATA]],M122*(-1+DAY(FORMULÁRIO!Q$24))/DAY(EOMONTH(TabelaCalculo[[#This Row],[DATA]],0)),0))</f>
        <v/>
      </c>
      <c r="H123" s="45"/>
      <c r="I123" s="62">
        <v>80.62</v>
      </c>
      <c r="J123" s="62">
        <v>7.1785629999999996</v>
      </c>
      <c r="K123" s="62">
        <v>80.62</v>
      </c>
      <c r="L123" s="80"/>
      <c r="M123" s="91"/>
      <c r="N123" s="46"/>
    </row>
    <row r="124" spans="1:14" x14ac:dyDescent="0.25">
      <c r="A124" s="59">
        <v>27061</v>
      </c>
      <c r="B124" s="62"/>
      <c r="C124" s="45"/>
      <c r="D124" s="45"/>
      <c r="F124" s="45"/>
      <c r="G124" s="69" t="str">
        <f ca="1">IF(L123="","",G123+MAX(0,(1+L123)/ROUND(OFFSET(A124,0,FORMULÁRIO!$E$10-1)/OFFSET(A123,0,FORMULÁRIO!$E$10-1),4)-1)+IF(DATE(YEAR(FORMULÁRIO!Q$22),MONTH(FORMULÁRIO!Q$22),1)=TabelaCalculo[[#This Row],[DATA]],M123*(1-DAY(FORMULÁRIO!Q$22))/DAY(EOMONTH(TabelaCalculo[[#This Row],[DATA]],0)),0)+IF(DATE(YEAR(FORMULÁRIO!Q$24),MONTH(FORMULÁRIO!Q$24),1)=TabelaCalculo[[#This Row],[DATA]],M123*(-1+DAY(FORMULÁRIO!Q$24))/DAY(EOMONTH(TabelaCalculo[[#This Row],[DATA]],0)),0))</f>
        <v/>
      </c>
      <c r="H124" s="45"/>
      <c r="I124" s="62">
        <v>81.47</v>
      </c>
      <c r="J124" s="62">
        <v>7.2542489999999997</v>
      </c>
      <c r="K124" s="62">
        <v>81.47</v>
      </c>
      <c r="L124" s="80"/>
      <c r="M124" s="91"/>
      <c r="N124" s="46"/>
    </row>
    <row r="125" spans="1:14" x14ac:dyDescent="0.25">
      <c r="A125" s="59">
        <v>27089</v>
      </c>
      <c r="B125" s="62"/>
      <c r="C125" s="45"/>
      <c r="D125" s="45"/>
      <c r="F125" s="45"/>
      <c r="G125" s="69" t="str">
        <f ca="1">IF(L124="","",G124+MAX(0,(1+L124)/ROUND(OFFSET(A125,0,FORMULÁRIO!$E$10-1)/OFFSET(A124,0,FORMULÁRIO!$E$10-1),4)-1)+IF(DATE(YEAR(FORMULÁRIO!Q$22),MONTH(FORMULÁRIO!Q$22),1)=TabelaCalculo[[#This Row],[DATA]],M124*(1-DAY(FORMULÁRIO!Q$22))/DAY(EOMONTH(TabelaCalculo[[#This Row],[DATA]],0)),0)+IF(DATE(YEAR(FORMULÁRIO!Q$24),MONTH(FORMULÁRIO!Q$24),1)=TabelaCalculo[[#This Row],[DATA]],M124*(-1+DAY(FORMULÁRIO!Q$24))/DAY(EOMONTH(TabelaCalculo[[#This Row],[DATA]],0)),0))</f>
        <v/>
      </c>
      <c r="H125" s="45"/>
      <c r="I125" s="62">
        <v>82.69</v>
      </c>
      <c r="J125" s="62">
        <v>7.3628799999999996</v>
      </c>
      <c r="K125" s="62">
        <v>82.69</v>
      </c>
      <c r="L125" s="80"/>
      <c r="M125" s="91"/>
      <c r="N125" s="46"/>
    </row>
    <row r="126" spans="1:14" x14ac:dyDescent="0.25">
      <c r="A126" s="59">
        <v>27120</v>
      </c>
      <c r="B126" s="62"/>
      <c r="C126" s="45"/>
      <c r="D126" s="45"/>
      <c r="F126" s="45"/>
      <c r="G126" s="69" t="str">
        <f ca="1">IF(L125="","",G125+MAX(0,(1+L125)/ROUND(OFFSET(A126,0,FORMULÁRIO!$E$10-1)/OFFSET(A125,0,FORMULÁRIO!$E$10-1),4)-1)+IF(DATE(YEAR(FORMULÁRIO!Q$22),MONTH(FORMULÁRIO!Q$22),1)=TabelaCalculo[[#This Row],[DATA]],M125*(1-DAY(FORMULÁRIO!Q$22))/DAY(EOMONTH(TabelaCalculo[[#This Row],[DATA]],0)),0)+IF(DATE(YEAR(FORMULÁRIO!Q$24),MONTH(FORMULÁRIO!Q$24),1)=TabelaCalculo[[#This Row],[DATA]],M125*(-1+DAY(FORMULÁRIO!Q$24))/DAY(EOMONTH(TabelaCalculo[[#This Row],[DATA]],0)),0))</f>
        <v/>
      </c>
      <c r="H126" s="45"/>
      <c r="I126" s="62">
        <v>83.73</v>
      </c>
      <c r="J126" s="62">
        <v>7.4554840000000002</v>
      </c>
      <c r="K126" s="62">
        <v>83.73</v>
      </c>
      <c r="L126" s="80"/>
      <c r="M126" s="91"/>
      <c r="N126" s="46"/>
    </row>
    <row r="127" spans="1:14" x14ac:dyDescent="0.25">
      <c r="A127" s="59">
        <v>27150</v>
      </c>
      <c r="B127" s="62"/>
      <c r="C127" s="45"/>
      <c r="D127" s="45"/>
      <c r="F127" s="45"/>
      <c r="G127" s="69" t="str">
        <f ca="1">IF(L126="","",G126+MAX(0,(1+L126)/ROUND(OFFSET(A127,0,FORMULÁRIO!$E$10-1)/OFFSET(A126,0,FORMULÁRIO!$E$10-1),4)-1)+IF(DATE(YEAR(FORMULÁRIO!Q$22),MONTH(FORMULÁRIO!Q$22),1)=TabelaCalculo[[#This Row],[DATA]],M126*(1-DAY(FORMULÁRIO!Q$22))/DAY(EOMONTH(TabelaCalculo[[#This Row],[DATA]],0)),0)+IF(DATE(YEAR(FORMULÁRIO!Q$24),MONTH(FORMULÁRIO!Q$24),1)=TabelaCalculo[[#This Row],[DATA]],M126*(-1+DAY(FORMULÁRIO!Q$24))/DAY(EOMONTH(TabelaCalculo[[#This Row],[DATA]],0)),0))</f>
        <v/>
      </c>
      <c r="H127" s="45"/>
      <c r="I127" s="62">
        <v>85.1</v>
      </c>
      <c r="J127" s="62">
        <v>7.5774710000000001</v>
      </c>
      <c r="K127" s="62">
        <v>85.1</v>
      </c>
      <c r="L127" s="80"/>
      <c r="M127" s="91"/>
      <c r="N127" s="46"/>
    </row>
    <row r="128" spans="1:14" x14ac:dyDescent="0.25">
      <c r="A128" s="59">
        <v>27181</v>
      </c>
      <c r="B128" s="62"/>
      <c r="C128" s="45"/>
      <c r="D128" s="45"/>
      <c r="F128" s="45"/>
      <c r="G128" s="69" t="str">
        <f ca="1">IF(L127="","",G127+MAX(0,(1+L127)/ROUND(OFFSET(A128,0,FORMULÁRIO!$E$10-1)/OFFSET(A127,0,FORMULÁRIO!$E$10-1),4)-1)+IF(DATE(YEAR(FORMULÁRIO!Q$22),MONTH(FORMULÁRIO!Q$22),1)=TabelaCalculo[[#This Row],[DATA]],M127*(1-DAY(FORMULÁRIO!Q$22))/DAY(EOMONTH(TabelaCalculo[[#This Row],[DATA]],0)),0)+IF(DATE(YEAR(FORMULÁRIO!Q$24),MONTH(FORMULÁRIO!Q$24),1)=TabelaCalculo[[#This Row],[DATA]],M127*(-1+DAY(FORMULÁRIO!Q$24))/DAY(EOMONTH(TabelaCalculo[[#This Row],[DATA]],0)),0))</f>
        <v/>
      </c>
      <c r="H128" s="45"/>
      <c r="I128" s="62">
        <v>86.91</v>
      </c>
      <c r="J128" s="62">
        <v>7.7386369999999998</v>
      </c>
      <c r="K128" s="62">
        <v>86.91</v>
      </c>
      <c r="L128" s="80"/>
      <c r="M128" s="91"/>
      <c r="N128" s="46"/>
    </row>
    <row r="129" spans="1:14" x14ac:dyDescent="0.25">
      <c r="A129" s="59">
        <v>27211</v>
      </c>
      <c r="B129" s="62"/>
      <c r="C129" s="45"/>
      <c r="D129" s="45"/>
      <c r="F129" s="45"/>
      <c r="G129" s="69" t="str">
        <f ca="1">IF(L128="","",G128+MAX(0,(1+L128)/ROUND(OFFSET(A129,0,FORMULÁRIO!$E$10-1)/OFFSET(A128,0,FORMULÁRIO!$E$10-1),4)-1)+IF(DATE(YEAR(FORMULÁRIO!Q$22),MONTH(FORMULÁRIO!Q$22),1)=TabelaCalculo[[#This Row],[DATA]],M128*(1-DAY(FORMULÁRIO!Q$22))/DAY(EOMONTH(TabelaCalculo[[#This Row],[DATA]],0)),0)+IF(DATE(YEAR(FORMULÁRIO!Q$24),MONTH(FORMULÁRIO!Q$24),1)=TabelaCalculo[[#This Row],[DATA]],M128*(-1+DAY(FORMULÁRIO!Q$24))/DAY(EOMONTH(TabelaCalculo[[#This Row],[DATA]],0)),0))</f>
        <v/>
      </c>
      <c r="H129" s="45"/>
      <c r="I129" s="62">
        <v>89.8</v>
      </c>
      <c r="J129" s="62">
        <v>7.9959680000000004</v>
      </c>
      <c r="K129" s="62">
        <v>89.8</v>
      </c>
      <c r="L129" s="80"/>
      <c r="M129" s="91"/>
      <c r="N129" s="46"/>
    </row>
    <row r="130" spans="1:14" x14ac:dyDescent="0.25">
      <c r="A130" s="59">
        <v>27242</v>
      </c>
      <c r="B130" s="62"/>
      <c r="C130" s="45"/>
      <c r="D130" s="45"/>
      <c r="F130" s="45"/>
      <c r="G130" s="69" t="str">
        <f ca="1">IF(L129="","",G129+MAX(0,(1+L129)/ROUND(OFFSET(A130,0,FORMULÁRIO!$E$10-1)/OFFSET(A129,0,FORMULÁRIO!$E$10-1),4)-1)+IF(DATE(YEAR(FORMULÁRIO!Q$22),MONTH(FORMULÁRIO!Q$22),1)=TabelaCalculo[[#This Row],[DATA]],M129*(1-DAY(FORMULÁRIO!Q$22))/DAY(EOMONTH(TabelaCalculo[[#This Row],[DATA]],0)),0)+IF(DATE(YEAR(FORMULÁRIO!Q$24),MONTH(FORMULÁRIO!Q$24),1)=TabelaCalculo[[#This Row],[DATA]],M129*(-1+DAY(FORMULÁRIO!Q$24))/DAY(EOMONTH(TabelaCalculo[[#This Row],[DATA]],0)),0))</f>
        <v/>
      </c>
      <c r="H130" s="45"/>
      <c r="I130" s="62">
        <v>93.75</v>
      </c>
      <c r="J130" s="62">
        <v>8.3476839999999992</v>
      </c>
      <c r="K130" s="62">
        <v>93.75</v>
      </c>
      <c r="L130" s="80"/>
      <c r="M130" s="91"/>
      <c r="N130" s="46"/>
    </row>
    <row r="131" spans="1:14" x14ac:dyDescent="0.25">
      <c r="A131" s="59">
        <v>27273</v>
      </c>
      <c r="B131" s="62"/>
      <c r="C131" s="45"/>
      <c r="D131" s="45"/>
      <c r="F131" s="45"/>
      <c r="G131" s="69" t="str">
        <f ca="1">IF(L130="","",G130+MAX(0,(1+L130)/ROUND(OFFSET(A131,0,FORMULÁRIO!$E$10-1)/OFFSET(A130,0,FORMULÁRIO!$E$10-1),4)-1)+IF(DATE(YEAR(FORMULÁRIO!Q$22),MONTH(FORMULÁRIO!Q$22),1)=TabelaCalculo[[#This Row],[DATA]],M130*(1-DAY(FORMULÁRIO!Q$22))/DAY(EOMONTH(TabelaCalculo[[#This Row],[DATA]],0)),0)+IF(DATE(YEAR(FORMULÁRIO!Q$24),MONTH(FORMULÁRIO!Q$24),1)=TabelaCalculo[[#This Row],[DATA]],M130*(-1+DAY(FORMULÁRIO!Q$24))/DAY(EOMONTH(TabelaCalculo[[#This Row],[DATA]],0)),0))</f>
        <v/>
      </c>
      <c r="H131" s="45"/>
      <c r="I131" s="62">
        <v>98.22</v>
      </c>
      <c r="J131" s="62">
        <v>8.7457019999999996</v>
      </c>
      <c r="K131" s="62">
        <v>98.22</v>
      </c>
      <c r="L131" s="80"/>
      <c r="M131" s="91"/>
      <c r="N131" s="46"/>
    </row>
    <row r="132" spans="1:14" x14ac:dyDescent="0.25">
      <c r="A132" s="59">
        <v>27303</v>
      </c>
      <c r="B132" s="62"/>
      <c r="C132" s="45"/>
      <c r="D132" s="45"/>
      <c r="F132" s="45"/>
      <c r="G132" s="69" t="str">
        <f ca="1">IF(L131="","",G131+MAX(0,(1+L131)/ROUND(OFFSET(A132,0,FORMULÁRIO!$E$10-1)/OFFSET(A131,0,FORMULÁRIO!$E$10-1),4)-1)+IF(DATE(YEAR(FORMULÁRIO!Q$22),MONTH(FORMULÁRIO!Q$22),1)=TabelaCalculo[[#This Row],[DATA]],M131*(1-DAY(FORMULÁRIO!Q$22))/DAY(EOMONTH(TabelaCalculo[[#This Row],[DATA]],0)),0)+IF(DATE(YEAR(FORMULÁRIO!Q$24),MONTH(FORMULÁRIO!Q$24),1)=TabelaCalculo[[#This Row],[DATA]],M131*(-1+DAY(FORMULÁRIO!Q$24))/DAY(EOMONTH(TabelaCalculo[[#This Row],[DATA]],0)),0))</f>
        <v/>
      </c>
      <c r="H132" s="45"/>
      <c r="I132" s="62">
        <v>101.9</v>
      </c>
      <c r="J132" s="62">
        <v>9.0733759999999997</v>
      </c>
      <c r="K132" s="62">
        <v>101.9</v>
      </c>
      <c r="L132" s="80"/>
      <c r="M132" s="91"/>
      <c r="N132" s="46"/>
    </row>
    <row r="133" spans="1:14" x14ac:dyDescent="0.25">
      <c r="A133" s="59">
        <v>27334</v>
      </c>
      <c r="B133" s="62"/>
      <c r="C133" s="45"/>
      <c r="D133" s="45"/>
      <c r="F133" s="45"/>
      <c r="G133" s="69" t="str">
        <f ca="1">IF(L132="","",G132+MAX(0,(1+L132)/ROUND(OFFSET(A133,0,FORMULÁRIO!$E$10-1)/OFFSET(A132,0,FORMULÁRIO!$E$10-1),4)-1)+IF(DATE(YEAR(FORMULÁRIO!Q$22),MONTH(FORMULÁRIO!Q$22),1)=TabelaCalculo[[#This Row],[DATA]],M132*(1-DAY(FORMULÁRIO!Q$22))/DAY(EOMONTH(TabelaCalculo[[#This Row],[DATA]],0)),0)+IF(DATE(YEAR(FORMULÁRIO!Q$24),MONTH(FORMULÁRIO!Q$24),1)=TabelaCalculo[[#This Row],[DATA]],M132*(-1+DAY(FORMULÁRIO!Q$24))/DAY(EOMONTH(TabelaCalculo[[#This Row],[DATA]],0)),0))</f>
        <v/>
      </c>
      <c r="H133" s="45"/>
      <c r="I133" s="62">
        <v>104.1</v>
      </c>
      <c r="J133" s="62">
        <v>9.2692680000000003</v>
      </c>
      <c r="K133" s="62">
        <v>104.1</v>
      </c>
      <c r="L133" s="80"/>
      <c r="M133" s="91"/>
      <c r="N133" s="46"/>
    </row>
    <row r="134" spans="1:14" x14ac:dyDescent="0.25">
      <c r="A134" s="59">
        <v>27364</v>
      </c>
      <c r="B134" s="62"/>
      <c r="C134" s="45"/>
      <c r="D134" s="45"/>
      <c r="F134" s="45"/>
      <c r="G134" s="69" t="str">
        <f ca="1">IF(L133="","",G133+MAX(0,(1+L133)/ROUND(OFFSET(A134,0,FORMULÁRIO!$E$10-1)/OFFSET(A133,0,FORMULÁRIO!$E$10-1),4)-1)+IF(DATE(YEAR(FORMULÁRIO!Q$22),MONTH(FORMULÁRIO!Q$22),1)=TabelaCalculo[[#This Row],[DATA]],M133*(1-DAY(FORMULÁRIO!Q$22))/DAY(EOMONTH(TabelaCalculo[[#This Row],[DATA]],0)),0)+IF(DATE(YEAR(FORMULÁRIO!Q$24),MONTH(FORMULÁRIO!Q$24),1)=TabelaCalculo[[#This Row],[DATA]],M133*(-1+DAY(FORMULÁRIO!Q$24))/DAY(EOMONTH(TabelaCalculo[[#This Row],[DATA]],0)),0))</f>
        <v/>
      </c>
      <c r="H134" s="45"/>
      <c r="I134" s="62">
        <v>105.41</v>
      </c>
      <c r="J134" s="62">
        <v>9.3859130000000004</v>
      </c>
      <c r="K134" s="62">
        <v>105.41</v>
      </c>
      <c r="L134" s="80"/>
      <c r="M134" s="91"/>
      <c r="N134" s="46"/>
    </row>
    <row r="135" spans="1:14" x14ac:dyDescent="0.25">
      <c r="A135" s="59">
        <v>27395</v>
      </c>
      <c r="B135" s="62"/>
      <c r="C135" s="45"/>
      <c r="D135" s="45"/>
      <c r="F135" s="45"/>
      <c r="G135" s="69" t="str">
        <f ca="1">IF(L134="","",G134+MAX(0,(1+L134)/ROUND(OFFSET(A135,0,FORMULÁRIO!$E$10-1)/OFFSET(A134,0,FORMULÁRIO!$E$10-1),4)-1)+IF(DATE(YEAR(FORMULÁRIO!Q$22),MONTH(FORMULÁRIO!Q$22),1)=TabelaCalculo[[#This Row],[DATA]],M134*(1-DAY(FORMULÁRIO!Q$22))/DAY(EOMONTH(TabelaCalculo[[#This Row],[DATA]],0)),0)+IF(DATE(YEAR(FORMULÁRIO!Q$24),MONTH(FORMULÁRIO!Q$24),1)=TabelaCalculo[[#This Row],[DATA]],M134*(-1+DAY(FORMULÁRIO!Q$24))/DAY(EOMONTH(TabelaCalculo[[#This Row],[DATA]],0)),0))</f>
        <v/>
      </c>
      <c r="H135" s="45"/>
      <c r="I135" s="62">
        <v>106.76</v>
      </c>
      <c r="J135" s="62">
        <v>9.5061199999999992</v>
      </c>
      <c r="K135" s="62">
        <v>106.76</v>
      </c>
      <c r="L135" s="80"/>
      <c r="M135" s="91"/>
      <c r="N135" s="46"/>
    </row>
    <row r="136" spans="1:14" x14ac:dyDescent="0.25">
      <c r="A136" s="59">
        <v>27426</v>
      </c>
      <c r="B136" s="62"/>
      <c r="C136" s="45"/>
      <c r="D136" s="45"/>
      <c r="F136" s="45"/>
      <c r="G136" s="69" t="str">
        <f ca="1">IF(L135="","",G135+MAX(0,(1+L135)/ROUND(OFFSET(A136,0,FORMULÁRIO!$E$10-1)/OFFSET(A135,0,FORMULÁRIO!$E$10-1),4)-1)+IF(DATE(YEAR(FORMULÁRIO!Q$22),MONTH(FORMULÁRIO!Q$22),1)=TabelaCalculo[[#This Row],[DATA]],M135*(1-DAY(FORMULÁRIO!Q$22))/DAY(EOMONTH(TabelaCalculo[[#This Row],[DATA]],0)),0)+IF(DATE(YEAR(FORMULÁRIO!Q$24),MONTH(FORMULÁRIO!Q$24),1)=TabelaCalculo[[#This Row],[DATA]],M135*(-1+DAY(FORMULÁRIO!Q$24))/DAY(EOMONTH(TabelaCalculo[[#This Row],[DATA]],0)),0))</f>
        <v/>
      </c>
      <c r="H136" s="45"/>
      <c r="I136" s="62">
        <v>108.38</v>
      </c>
      <c r="J136" s="62">
        <v>9.6503680000000003</v>
      </c>
      <c r="K136" s="62">
        <v>108.38</v>
      </c>
      <c r="L136" s="80"/>
      <c r="M136" s="91"/>
      <c r="N136" s="46"/>
    </row>
    <row r="137" spans="1:14" x14ac:dyDescent="0.25">
      <c r="A137" s="59">
        <v>27454</v>
      </c>
      <c r="B137" s="62"/>
      <c r="C137" s="45"/>
      <c r="D137" s="45"/>
      <c r="F137" s="45"/>
      <c r="G137" s="69" t="str">
        <f ca="1">IF(L136="","",G136+MAX(0,(1+L136)/ROUND(OFFSET(A137,0,FORMULÁRIO!$E$10-1)/OFFSET(A136,0,FORMULÁRIO!$E$10-1),4)-1)+IF(DATE(YEAR(FORMULÁRIO!Q$22),MONTH(FORMULÁRIO!Q$22),1)=TabelaCalculo[[#This Row],[DATA]],M136*(1-DAY(FORMULÁRIO!Q$22))/DAY(EOMONTH(TabelaCalculo[[#This Row],[DATA]],0)),0)+IF(DATE(YEAR(FORMULÁRIO!Q$24),MONTH(FORMULÁRIO!Q$24),1)=TabelaCalculo[[#This Row],[DATA]],M136*(-1+DAY(FORMULÁRIO!Q$24))/DAY(EOMONTH(TabelaCalculo[[#This Row],[DATA]],0)),0))</f>
        <v/>
      </c>
      <c r="H137" s="45"/>
      <c r="I137" s="62">
        <v>110.18</v>
      </c>
      <c r="J137" s="62">
        <v>9.8106439999999999</v>
      </c>
      <c r="K137" s="62">
        <v>110.18</v>
      </c>
      <c r="L137" s="80"/>
      <c r="M137" s="91"/>
      <c r="N137" s="46"/>
    </row>
    <row r="138" spans="1:14" x14ac:dyDescent="0.25">
      <c r="A138" s="59">
        <v>27485</v>
      </c>
      <c r="B138" s="62"/>
      <c r="C138" s="45"/>
      <c r="D138" s="45"/>
      <c r="F138" s="45"/>
      <c r="G138" s="69" t="str">
        <f ca="1">IF(L137="","",G137+MAX(0,(1+L137)/ROUND(OFFSET(A138,0,FORMULÁRIO!$E$10-1)/OFFSET(A137,0,FORMULÁRIO!$E$10-1),4)-1)+IF(DATE(YEAR(FORMULÁRIO!Q$22),MONTH(FORMULÁRIO!Q$22),1)=TabelaCalculo[[#This Row],[DATA]],M137*(1-DAY(FORMULÁRIO!Q$22))/DAY(EOMONTH(TabelaCalculo[[#This Row],[DATA]],0)),0)+IF(DATE(YEAR(FORMULÁRIO!Q$24),MONTH(FORMULÁRIO!Q$24),1)=TabelaCalculo[[#This Row],[DATA]],M137*(-1+DAY(FORMULÁRIO!Q$24))/DAY(EOMONTH(TabelaCalculo[[#This Row],[DATA]],0)),0))</f>
        <v/>
      </c>
      <c r="H138" s="45"/>
      <c r="I138" s="62">
        <v>112.25</v>
      </c>
      <c r="J138" s="62">
        <v>9.9949600000000007</v>
      </c>
      <c r="K138" s="62">
        <v>112.25</v>
      </c>
      <c r="L138" s="80"/>
      <c r="M138" s="91"/>
      <c r="N138" s="46"/>
    </row>
    <row r="139" spans="1:14" x14ac:dyDescent="0.25">
      <c r="A139" s="59">
        <v>27515</v>
      </c>
      <c r="B139" s="62"/>
      <c r="C139" s="45"/>
      <c r="D139" s="45"/>
      <c r="F139" s="45"/>
      <c r="G139" s="69" t="str">
        <f ca="1">IF(L138="","",G138+MAX(0,(1+L138)/ROUND(OFFSET(A139,0,FORMULÁRIO!$E$10-1)/OFFSET(A138,0,FORMULÁRIO!$E$10-1),4)-1)+IF(DATE(YEAR(FORMULÁRIO!Q$22),MONTH(FORMULÁRIO!Q$22),1)=TabelaCalculo[[#This Row],[DATA]],M138*(1-DAY(FORMULÁRIO!Q$22))/DAY(EOMONTH(TabelaCalculo[[#This Row],[DATA]],0)),0)+IF(DATE(YEAR(FORMULÁRIO!Q$24),MONTH(FORMULÁRIO!Q$24),1)=TabelaCalculo[[#This Row],[DATA]],M138*(-1+DAY(FORMULÁRIO!Q$24))/DAY(EOMONTH(TabelaCalculo[[#This Row],[DATA]],0)),0))</f>
        <v/>
      </c>
      <c r="H139" s="45"/>
      <c r="I139" s="62">
        <v>114.49</v>
      </c>
      <c r="J139" s="62">
        <v>10.194414</v>
      </c>
      <c r="K139" s="62">
        <v>114.49</v>
      </c>
      <c r="L139" s="80"/>
      <c r="M139" s="91"/>
      <c r="N139" s="46"/>
    </row>
    <row r="140" spans="1:14" x14ac:dyDescent="0.25">
      <c r="A140" s="59">
        <v>27546</v>
      </c>
      <c r="B140" s="62"/>
      <c r="C140" s="45"/>
      <c r="D140" s="45"/>
      <c r="F140" s="45"/>
      <c r="G140" s="69" t="str">
        <f ca="1">IF(L139="","",G139+MAX(0,(1+L139)/ROUND(OFFSET(A140,0,FORMULÁRIO!$E$10-1)/OFFSET(A139,0,FORMULÁRIO!$E$10-1),4)-1)+IF(DATE(YEAR(FORMULÁRIO!Q$22),MONTH(FORMULÁRIO!Q$22),1)=TabelaCalculo[[#This Row],[DATA]],M139*(1-DAY(FORMULÁRIO!Q$22))/DAY(EOMONTH(TabelaCalculo[[#This Row],[DATA]],0)),0)+IF(DATE(YEAR(FORMULÁRIO!Q$24),MONTH(FORMULÁRIO!Q$24),1)=TabelaCalculo[[#This Row],[DATA]],M139*(-1+DAY(FORMULÁRIO!Q$24))/DAY(EOMONTH(TabelaCalculo[[#This Row],[DATA]],0)),0))</f>
        <v/>
      </c>
      <c r="H140" s="45"/>
      <c r="I140" s="62">
        <v>117.13</v>
      </c>
      <c r="J140" s="62">
        <v>10.429485</v>
      </c>
      <c r="K140" s="62">
        <v>117.13</v>
      </c>
      <c r="L140" s="80"/>
      <c r="M140" s="91"/>
      <c r="N140" s="46"/>
    </row>
    <row r="141" spans="1:14" x14ac:dyDescent="0.25">
      <c r="A141" s="59">
        <v>27576</v>
      </c>
      <c r="B141" s="62"/>
      <c r="C141" s="45"/>
      <c r="D141" s="45"/>
      <c r="F141" s="45"/>
      <c r="G141" s="69" t="str">
        <f ca="1">IF(L140="","",G140+MAX(0,(1+L140)/ROUND(OFFSET(A141,0,FORMULÁRIO!$E$10-1)/OFFSET(A140,0,FORMULÁRIO!$E$10-1),4)-1)+IF(DATE(YEAR(FORMULÁRIO!Q$22),MONTH(FORMULÁRIO!Q$22),1)=TabelaCalculo[[#This Row],[DATA]],M140*(1-DAY(FORMULÁRIO!Q$22))/DAY(EOMONTH(TabelaCalculo[[#This Row],[DATA]],0)),0)+IF(DATE(YEAR(FORMULÁRIO!Q$24),MONTH(FORMULÁRIO!Q$24),1)=TabelaCalculo[[#This Row],[DATA]],M140*(-1+DAY(FORMULÁRIO!Q$24))/DAY(EOMONTH(TabelaCalculo[[#This Row],[DATA]],0)),0))</f>
        <v/>
      </c>
      <c r="H141" s="45"/>
      <c r="I141" s="62">
        <v>119.27</v>
      </c>
      <c r="J141" s="62">
        <v>10.620035</v>
      </c>
      <c r="K141" s="62">
        <v>119.27</v>
      </c>
      <c r="L141" s="80"/>
      <c r="M141" s="91"/>
      <c r="N141" s="46"/>
    </row>
    <row r="142" spans="1:14" x14ac:dyDescent="0.25">
      <c r="A142" s="59">
        <v>27607</v>
      </c>
      <c r="B142" s="62"/>
      <c r="C142" s="45"/>
      <c r="D142" s="45"/>
      <c r="F142" s="45"/>
      <c r="G142" s="69" t="str">
        <f ca="1">IF(L141="","",G141+MAX(0,(1+L141)/ROUND(OFFSET(A142,0,FORMULÁRIO!$E$10-1)/OFFSET(A141,0,FORMULÁRIO!$E$10-1),4)-1)+IF(DATE(YEAR(FORMULÁRIO!Q$22),MONTH(FORMULÁRIO!Q$22),1)=TabelaCalculo[[#This Row],[DATA]],M141*(1-DAY(FORMULÁRIO!Q$22))/DAY(EOMONTH(TabelaCalculo[[#This Row],[DATA]],0)),0)+IF(DATE(YEAR(FORMULÁRIO!Q$24),MONTH(FORMULÁRIO!Q$24),1)=TabelaCalculo[[#This Row],[DATA]],M141*(-1+DAY(FORMULÁRIO!Q$24))/DAY(EOMONTH(TabelaCalculo[[#This Row],[DATA]],0)),0))</f>
        <v/>
      </c>
      <c r="H142" s="45"/>
      <c r="I142" s="62">
        <v>121.31</v>
      </c>
      <c r="J142" s="62">
        <v>10.801681</v>
      </c>
      <c r="K142" s="62">
        <v>121.31</v>
      </c>
      <c r="L142" s="80"/>
      <c r="M142" s="91"/>
      <c r="N142" s="46"/>
    </row>
    <row r="143" spans="1:14" x14ac:dyDescent="0.25">
      <c r="A143" s="59">
        <v>27638</v>
      </c>
      <c r="B143" s="62"/>
      <c r="C143" s="45"/>
      <c r="D143" s="45"/>
      <c r="F143" s="45"/>
      <c r="G143" s="69" t="str">
        <f ca="1">IF(L142="","",G142+MAX(0,(1+L142)/ROUND(OFFSET(A143,0,FORMULÁRIO!$E$10-1)/OFFSET(A142,0,FORMULÁRIO!$E$10-1),4)-1)+IF(DATE(YEAR(FORMULÁRIO!Q$22),MONTH(FORMULÁRIO!Q$22),1)=TabelaCalculo[[#This Row],[DATA]],M142*(1-DAY(FORMULÁRIO!Q$22))/DAY(EOMONTH(TabelaCalculo[[#This Row],[DATA]],0)),0)+IF(DATE(YEAR(FORMULÁRIO!Q$24),MONTH(FORMULÁRIO!Q$24),1)=TabelaCalculo[[#This Row],[DATA]],M142*(-1+DAY(FORMULÁRIO!Q$24))/DAY(EOMONTH(TabelaCalculo[[#This Row],[DATA]],0)),0))</f>
        <v/>
      </c>
      <c r="H143" s="45"/>
      <c r="I143" s="62">
        <v>123.2</v>
      </c>
      <c r="J143" s="62">
        <v>10.96997</v>
      </c>
      <c r="K143" s="62">
        <v>123.2</v>
      </c>
      <c r="L143" s="80"/>
      <c r="M143" s="91"/>
      <c r="N143" s="46"/>
    </row>
    <row r="144" spans="1:14" x14ac:dyDescent="0.25">
      <c r="A144" s="59">
        <v>27668</v>
      </c>
      <c r="B144" s="62"/>
      <c r="C144" s="45"/>
      <c r="D144" s="45"/>
      <c r="F144" s="45"/>
      <c r="G144" s="69" t="str">
        <f ca="1">IF(L143="","",G143+MAX(0,(1+L143)/ROUND(OFFSET(A144,0,FORMULÁRIO!$E$10-1)/OFFSET(A143,0,FORMULÁRIO!$E$10-1),4)-1)+IF(DATE(YEAR(FORMULÁRIO!Q$22),MONTH(FORMULÁRIO!Q$22),1)=TabelaCalculo[[#This Row],[DATA]],M143*(1-DAY(FORMULÁRIO!Q$22))/DAY(EOMONTH(TabelaCalculo[[#This Row],[DATA]],0)),0)+IF(DATE(YEAR(FORMULÁRIO!Q$24),MONTH(FORMULÁRIO!Q$24),1)=TabelaCalculo[[#This Row],[DATA]],M143*(-1+DAY(FORMULÁRIO!Q$24))/DAY(EOMONTH(TabelaCalculo[[#This Row],[DATA]],0)),0))</f>
        <v/>
      </c>
      <c r="H144" s="45"/>
      <c r="I144" s="62">
        <v>125.7</v>
      </c>
      <c r="J144" s="62">
        <v>11.192575</v>
      </c>
      <c r="K144" s="62">
        <v>125.7</v>
      </c>
      <c r="L144" s="80"/>
      <c r="M144" s="91"/>
      <c r="N144" s="46"/>
    </row>
    <row r="145" spans="1:14" x14ac:dyDescent="0.25">
      <c r="A145" s="59">
        <v>27699</v>
      </c>
      <c r="B145" s="62"/>
      <c r="C145" s="45"/>
      <c r="D145" s="45"/>
      <c r="F145" s="45"/>
      <c r="G145" s="69" t="str">
        <f ca="1">IF(L144="","",G144+MAX(0,(1+L144)/ROUND(OFFSET(A145,0,FORMULÁRIO!$E$10-1)/OFFSET(A144,0,FORMULÁRIO!$E$10-1),4)-1)+IF(DATE(YEAR(FORMULÁRIO!Q$22),MONTH(FORMULÁRIO!Q$22),1)=TabelaCalculo[[#This Row],[DATA]],M144*(1-DAY(FORMULÁRIO!Q$22))/DAY(EOMONTH(TabelaCalculo[[#This Row],[DATA]],0)),0)+IF(DATE(YEAR(FORMULÁRIO!Q$24),MONTH(FORMULÁRIO!Q$24),1)=TabelaCalculo[[#This Row],[DATA]],M144*(-1+DAY(FORMULÁRIO!Q$24))/DAY(EOMONTH(TabelaCalculo[[#This Row],[DATA]],0)),0))</f>
        <v/>
      </c>
      <c r="H145" s="45"/>
      <c r="I145" s="62">
        <v>128.43</v>
      </c>
      <c r="J145" s="62">
        <v>11.435658999999999</v>
      </c>
      <c r="K145" s="62">
        <v>128.43</v>
      </c>
      <c r="L145" s="80"/>
      <c r="M145" s="91"/>
      <c r="N145" s="46"/>
    </row>
    <row r="146" spans="1:14" x14ac:dyDescent="0.25">
      <c r="A146" s="59">
        <v>27729</v>
      </c>
      <c r="B146" s="62"/>
      <c r="C146" s="45"/>
      <c r="D146" s="45"/>
      <c r="F146" s="45"/>
      <c r="G146" s="69" t="str">
        <f ca="1">IF(L145="","",G145+MAX(0,(1+L145)/ROUND(OFFSET(A146,0,FORMULÁRIO!$E$10-1)/OFFSET(A145,0,FORMULÁRIO!$E$10-1),4)-1)+IF(DATE(YEAR(FORMULÁRIO!Q$22),MONTH(FORMULÁRIO!Q$22),1)=TabelaCalculo[[#This Row],[DATA]],M145*(1-DAY(FORMULÁRIO!Q$22))/DAY(EOMONTH(TabelaCalculo[[#This Row],[DATA]],0)),0)+IF(DATE(YEAR(FORMULÁRIO!Q$24),MONTH(FORMULÁRIO!Q$24),1)=TabelaCalculo[[#This Row],[DATA]],M145*(-1+DAY(FORMULÁRIO!Q$24))/DAY(EOMONTH(TabelaCalculo[[#This Row],[DATA]],0)),0))</f>
        <v/>
      </c>
      <c r="H146" s="45"/>
      <c r="I146" s="62">
        <v>130.93</v>
      </c>
      <c r="J146" s="62">
        <v>11.658264000000001</v>
      </c>
      <c r="K146" s="62">
        <v>130.93</v>
      </c>
      <c r="L146" s="80"/>
      <c r="M146" s="91"/>
      <c r="N146" s="46"/>
    </row>
    <row r="147" spans="1:14" x14ac:dyDescent="0.25">
      <c r="A147" s="59">
        <v>27760</v>
      </c>
      <c r="B147" s="62"/>
      <c r="C147" s="45"/>
      <c r="D147" s="45"/>
      <c r="F147" s="45"/>
      <c r="G147" s="69" t="str">
        <f ca="1">IF(L146="","",G146+MAX(0,(1+L146)/ROUND(OFFSET(A147,0,FORMULÁRIO!$E$10-1)/OFFSET(A146,0,FORMULÁRIO!$E$10-1),4)-1)+IF(DATE(YEAR(FORMULÁRIO!Q$22),MONTH(FORMULÁRIO!Q$22),1)=TabelaCalculo[[#This Row],[DATA]],M146*(1-DAY(FORMULÁRIO!Q$22))/DAY(EOMONTH(TabelaCalculo[[#This Row],[DATA]],0)),0)+IF(DATE(YEAR(FORMULÁRIO!Q$24),MONTH(FORMULÁRIO!Q$24),1)=TabelaCalculo[[#This Row],[DATA]],M146*(-1+DAY(FORMULÁRIO!Q$24))/DAY(EOMONTH(TabelaCalculo[[#This Row],[DATA]],0)),0))</f>
        <v/>
      </c>
      <c r="H147" s="45"/>
      <c r="I147" s="62">
        <v>133.34</v>
      </c>
      <c r="J147" s="62">
        <v>11.872854999999999</v>
      </c>
      <c r="K147" s="62">
        <v>133.34</v>
      </c>
      <c r="L147" s="80"/>
      <c r="M147" s="91"/>
      <c r="N147" s="46"/>
    </row>
    <row r="148" spans="1:14" x14ac:dyDescent="0.25">
      <c r="A148" s="59">
        <v>27791</v>
      </c>
      <c r="B148" s="62"/>
      <c r="C148" s="45"/>
      <c r="D148" s="45"/>
      <c r="F148" s="45"/>
      <c r="G148" s="69" t="str">
        <f ca="1">IF(L147="","",G147+MAX(0,(1+L147)/ROUND(OFFSET(A148,0,FORMULÁRIO!$E$10-1)/OFFSET(A147,0,FORMULÁRIO!$E$10-1),4)-1)+IF(DATE(YEAR(FORMULÁRIO!Q$22),MONTH(FORMULÁRIO!Q$22),1)=TabelaCalculo[[#This Row],[DATA]],M147*(1-DAY(FORMULÁRIO!Q$22))/DAY(EOMONTH(TabelaCalculo[[#This Row],[DATA]],0)),0)+IF(DATE(YEAR(FORMULÁRIO!Q$24),MONTH(FORMULÁRIO!Q$24),1)=TabelaCalculo[[#This Row],[DATA]],M147*(-1+DAY(FORMULÁRIO!Q$24))/DAY(EOMONTH(TabelaCalculo[[#This Row],[DATA]],0)),0))</f>
        <v/>
      </c>
      <c r="H148" s="45"/>
      <c r="I148" s="62">
        <v>135.9</v>
      </c>
      <c r="J148" s="62">
        <v>12.100803000000001</v>
      </c>
      <c r="K148" s="62">
        <v>135.9</v>
      </c>
      <c r="L148" s="80"/>
      <c r="M148" s="91"/>
      <c r="N148" s="46"/>
    </row>
    <row r="149" spans="1:14" x14ac:dyDescent="0.25">
      <c r="A149" s="59">
        <v>27820</v>
      </c>
      <c r="B149" s="62"/>
      <c r="C149" s="45"/>
      <c r="D149" s="45"/>
      <c r="F149" s="45"/>
      <c r="G149" s="69" t="str">
        <f ca="1">IF(L148="","",G148+MAX(0,(1+L148)/ROUND(OFFSET(A149,0,FORMULÁRIO!$E$10-1)/OFFSET(A148,0,FORMULÁRIO!$E$10-1),4)-1)+IF(DATE(YEAR(FORMULÁRIO!Q$22),MONTH(FORMULÁRIO!Q$22),1)=TabelaCalculo[[#This Row],[DATA]],M148*(1-DAY(FORMULÁRIO!Q$22))/DAY(EOMONTH(TabelaCalculo[[#This Row],[DATA]],0)),0)+IF(DATE(YEAR(FORMULÁRIO!Q$24),MONTH(FORMULÁRIO!Q$24),1)=TabelaCalculo[[#This Row],[DATA]],M148*(-1+DAY(FORMULÁRIO!Q$24))/DAY(EOMONTH(TabelaCalculo[[#This Row],[DATA]],0)),0))</f>
        <v/>
      </c>
      <c r="H149" s="45"/>
      <c r="I149" s="62">
        <v>138.94</v>
      </c>
      <c r="J149" s="62">
        <v>12.37149</v>
      </c>
      <c r="K149" s="62">
        <v>138.94</v>
      </c>
      <c r="L149" s="80"/>
      <c r="M149" s="91"/>
      <c r="N149" s="46"/>
    </row>
    <row r="150" spans="1:14" x14ac:dyDescent="0.25">
      <c r="A150" s="59">
        <v>27851</v>
      </c>
      <c r="B150" s="62"/>
      <c r="C150" s="45"/>
      <c r="D150" s="45"/>
      <c r="F150" s="45"/>
      <c r="G150" s="69" t="str">
        <f ca="1">IF(L149="","",G149+MAX(0,(1+L149)/ROUND(OFFSET(A150,0,FORMULÁRIO!$E$10-1)/OFFSET(A149,0,FORMULÁRIO!$E$10-1),4)-1)+IF(DATE(YEAR(FORMULÁRIO!Q$22),MONTH(FORMULÁRIO!Q$22),1)=TabelaCalculo[[#This Row],[DATA]],M149*(1-DAY(FORMULÁRIO!Q$22))/DAY(EOMONTH(TabelaCalculo[[#This Row],[DATA]],0)),0)+IF(DATE(YEAR(FORMULÁRIO!Q$24),MONTH(FORMULÁRIO!Q$24),1)=TabelaCalculo[[#This Row],[DATA]],M149*(-1+DAY(FORMULÁRIO!Q$24))/DAY(EOMONTH(TabelaCalculo[[#This Row],[DATA]],0)),0))</f>
        <v/>
      </c>
      <c r="H150" s="45"/>
      <c r="I150" s="62">
        <v>142.24</v>
      </c>
      <c r="J150" s="62">
        <v>12.665329</v>
      </c>
      <c r="K150" s="62">
        <v>142.24</v>
      </c>
      <c r="L150" s="80"/>
      <c r="M150" s="91"/>
      <c r="N150" s="46"/>
    </row>
    <row r="151" spans="1:14" x14ac:dyDescent="0.25">
      <c r="A151" s="59">
        <v>27881</v>
      </c>
      <c r="B151" s="62"/>
      <c r="C151" s="45"/>
      <c r="D151" s="45"/>
      <c r="F151" s="45"/>
      <c r="G151" s="69" t="str">
        <f ca="1">IF(L150="","",G150+MAX(0,(1+L150)/ROUND(OFFSET(A151,0,FORMULÁRIO!$E$10-1)/OFFSET(A150,0,FORMULÁRIO!$E$10-1),4)-1)+IF(DATE(YEAR(FORMULÁRIO!Q$22),MONTH(FORMULÁRIO!Q$22),1)=TabelaCalculo[[#This Row],[DATA]],M150*(1-DAY(FORMULÁRIO!Q$22))/DAY(EOMONTH(TabelaCalculo[[#This Row],[DATA]],0)),0)+IF(DATE(YEAR(FORMULÁRIO!Q$24),MONTH(FORMULÁRIO!Q$24),1)=TabelaCalculo[[#This Row],[DATA]],M150*(-1+DAY(FORMULÁRIO!Q$24))/DAY(EOMONTH(TabelaCalculo[[#This Row],[DATA]],0)),0))</f>
        <v/>
      </c>
      <c r="H151" s="45"/>
      <c r="I151" s="62">
        <v>145.83000000000001</v>
      </c>
      <c r="J151" s="62">
        <v>12.984989000000001</v>
      </c>
      <c r="K151" s="62">
        <v>145.83000000000001</v>
      </c>
      <c r="L151" s="80"/>
      <c r="M151" s="91"/>
      <c r="N151" s="46"/>
    </row>
    <row r="152" spans="1:14" x14ac:dyDescent="0.25">
      <c r="A152" s="59">
        <v>27912</v>
      </c>
      <c r="B152" s="62"/>
      <c r="C152" s="45"/>
      <c r="D152" s="45"/>
      <c r="F152" s="45"/>
      <c r="G152" s="69" t="str">
        <f ca="1">IF(L151="","",G151+MAX(0,(1+L151)/ROUND(OFFSET(A152,0,FORMULÁRIO!$E$10-1)/OFFSET(A151,0,FORMULÁRIO!$E$10-1),4)-1)+IF(DATE(YEAR(FORMULÁRIO!Q$22),MONTH(FORMULÁRIO!Q$22),1)=TabelaCalculo[[#This Row],[DATA]],M151*(1-DAY(FORMULÁRIO!Q$22))/DAY(EOMONTH(TabelaCalculo[[#This Row],[DATA]],0)),0)+IF(DATE(YEAR(FORMULÁRIO!Q$24),MONTH(FORMULÁRIO!Q$24),1)=TabelaCalculo[[#This Row],[DATA]],M151*(-1+DAY(FORMULÁRIO!Q$24))/DAY(EOMONTH(TabelaCalculo[[#This Row],[DATA]],0)),0))</f>
        <v/>
      </c>
      <c r="H152" s="45"/>
      <c r="I152" s="62">
        <v>150.16999999999999</v>
      </c>
      <c r="J152" s="62">
        <v>13.371432</v>
      </c>
      <c r="K152" s="62">
        <v>150.16999999999999</v>
      </c>
      <c r="L152" s="80"/>
      <c r="M152" s="91"/>
      <c r="N152" s="46"/>
    </row>
    <row r="153" spans="1:14" x14ac:dyDescent="0.25">
      <c r="A153" s="59">
        <v>27942</v>
      </c>
      <c r="B153" s="62"/>
      <c r="C153" s="45"/>
      <c r="D153" s="45"/>
      <c r="F153" s="45"/>
      <c r="G153" s="69" t="str">
        <f ca="1">IF(L152="","",G152+MAX(0,(1+L152)/ROUND(OFFSET(A153,0,FORMULÁRIO!$E$10-1)/OFFSET(A152,0,FORMULÁRIO!$E$10-1),4)-1)+IF(DATE(YEAR(FORMULÁRIO!Q$22),MONTH(FORMULÁRIO!Q$22),1)=TabelaCalculo[[#This Row],[DATA]],M152*(1-DAY(FORMULÁRIO!Q$22))/DAY(EOMONTH(TabelaCalculo[[#This Row],[DATA]],0)),0)+IF(DATE(YEAR(FORMULÁRIO!Q$24),MONTH(FORMULÁRIO!Q$24),1)=TabelaCalculo[[#This Row],[DATA]],M152*(-1+DAY(FORMULÁRIO!Q$24))/DAY(EOMONTH(TabelaCalculo[[#This Row],[DATA]],0)),0))</f>
        <v/>
      </c>
      <c r="H153" s="45"/>
      <c r="I153" s="62">
        <v>154.6</v>
      </c>
      <c r="J153" s="62">
        <v>13.765888</v>
      </c>
      <c r="K153" s="62">
        <v>154.6</v>
      </c>
      <c r="L153" s="80"/>
      <c r="M153" s="91"/>
      <c r="N153" s="46"/>
    </row>
    <row r="154" spans="1:14" x14ac:dyDescent="0.25">
      <c r="A154" s="59">
        <v>27973</v>
      </c>
      <c r="B154" s="62"/>
      <c r="C154" s="45"/>
      <c r="D154" s="45"/>
      <c r="F154" s="45"/>
      <c r="G154" s="69" t="str">
        <f ca="1">IF(L153="","",G153+MAX(0,(1+L153)/ROUND(OFFSET(A154,0,FORMULÁRIO!$E$10-1)/OFFSET(A153,0,FORMULÁRIO!$E$10-1),4)-1)+IF(DATE(YEAR(FORMULÁRIO!Q$22),MONTH(FORMULÁRIO!Q$22),1)=TabelaCalculo[[#This Row],[DATA]],M153*(1-DAY(FORMULÁRIO!Q$22))/DAY(EOMONTH(TabelaCalculo[[#This Row],[DATA]],0)),0)+IF(DATE(YEAR(FORMULÁRIO!Q$24),MONTH(FORMULÁRIO!Q$24),1)=TabelaCalculo[[#This Row],[DATA]],M153*(-1+DAY(FORMULÁRIO!Q$24))/DAY(EOMONTH(TabelaCalculo[[#This Row],[DATA]],0)),0))</f>
        <v/>
      </c>
      <c r="H154" s="45"/>
      <c r="I154" s="62">
        <v>158.55000000000001</v>
      </c>
      <c r="J154" s="62">
        <v>14.117603000000001</v>
      </c>
      <c r="K154" s="62">
        <v>158.55000000000001</v>
      </c>
      <c r="L154" s="80"/>
      <c r="M154" s="91"/>
      <c r="N154" s="46"/>
    </row>
    <row r="155" spans="1:14" x14ac:dyDescent="0.25">
      <c r="A155" s="59">
        <v>28004</v>
      </c>
      <c r="B155" s="62"/>
      <c r="C155" s="45"/>
      <c r="D155" s="45"/>
      <c r="F155" s="45"/>
      <c r="G155" s="69" t="str">
        <f ca="1">IF(L154="","",G154+MAX(0,(1+L154)/ROUND(OFFSET(A155,0,FORMULÁRIO!$E$10-1)/OFFSET(A154,0,FORMULÁRIO!$E$10-1),4)-1)+IF(DATE(YEAR(FORMULÁRIO!Q$22),MONTH(FORMULÁRIO!Q$22),1)=TabelaCalculo[[#This Row],[DATA]],M154*(1-DAY(FORMULÁRIO!Q$22))/DAY(EOMONTH(TabelaCalculo[[#This Row],[DATA]],0)),0)+IF(DATE(YEAR(FORMULÁRIO!Q$24),MONTH(FORMULÁRIO!Q$24),1)=TabelaCalculo[[#This Row],[DATA]],M154*(-1+DAY(FORMULÁRIO!Q$24))/DAY(EOMONTH(TabelaCalculo[[#This Row],[DATA]],0)),0))</f>
        <v/>
      </c>
      <c r="H155" s="45"/>
      <c r="I155" s="62">
        <v>162.97</v>
      </c>
      <c r="J155" s="62">
        <v>14.511169000000001</v>
      </c>
      <c r="K155" s="62">
        <v>162.97</v>
      </c>
      <c r="L155" s="80"/>
      <c r="M155" s="91"/>
      <c r="N155" s="46"/>
    </row>
    <row r="156" spans="1:14" x14ac:dyDescent="0.25">
      <c r="A156" s="59">
        <v>28034</v>
      </c>
      <c r="B156" s="62"/>
      <c r="C156" s="45"/>
      <c r="D156" s="45"/>
      <c r="F156" s="45"/>
      <c r="G156" s="69" t="str">
        <f ca="1">IF(L155="","",G155+MAX(0,(1+L155)/ROUND(OFFSET(A156,0,FORMULÁRIO!$E$10-1)/OFFSET(A155,0,FORMULÁRIO!$E$10-1),4)-1)+IF(DATE(YEAR(FORMULÁRIO!Q$22),MONTH(FORMULÁRIO!Q$22),1)=TabelaCalculo[[#This Row],[DATA]],M155*(1-DAY(FORMULÁRIO!Q$22))/DAY(EOMONTH(TabelaCalculo[[#This Row],[DATA]],0)),0)+IF(DATE(YEAR(FORMULÁRIO!Q$24),MONTH(FORMULÁRIO!Q$24),1)=TabelaCalculo[[#This Row],[DATA]],M155*(-1+DAY(FORMULÁRIO!Q$24))/DAY(EOMONTH(TabelaCalculo[[#This Row],[DATA]],0)),0))</f>
        <v/>
      </c>
      <c r="H156" s="45"/>
      <c r="I156" s="62">
        <v>168.33</v>
      </c>
      <c r="J156" s="62">
        <v>14.988434</v>
      </c>
      <c r="K156" s="62">
        <v>168.33</v>
      </c>
      <c r="L156" s="80"/>
      <c r="M156" s="91"/>
      <c r="N156" s="46"/>
    </row>
    <row r="157" spans="1:14" x14ac:dyDescent="0.25">
      <c r="A157" s="59">
        <v>28065</v>
      </c>
      <c r="B157" s="62"/>
      <c r="C157" s="45"/>
      <c r="D157" s="45"/>
      <c r="F157" s="45"/>
      <c r="G157" s="69" t="str">
        <f ca="1">IF(L156="","",G156+MAX(0,(1+L156)/ROUND(OFFSET(A157,0,FORMULÁRIO!$E$10-1)/OFFSET(A156,0,FORMULÁRIO!$E$10-1),4)-1)+IF(DATE(YEAR(FORMULÁRIO!Q$22),MONTH(FORMULÁRIO!Q$22),1)=TabelaCalculo[[#This Row],[DATA]],M156*(1-DAY(FORMULÁRIO!Q$22))/DAY(EOMONTH(TabelaCalculo[[#This Row],[DATA]],0)),0)+IF(DATE(YEAR(FORMULÁRIO!Q$24),MONTH(FORMULÁRIO!Q$24),1)=TabelaCalculo[[#This Row],[DATA]],M156*(-1+DAY(FORMULÁRIO!Q$24))/DAY(EOMONTH(TabelaCalculo[[#This Row],[DATA]],0)),0))</f>
        <v/>
      </c>
      <c r="H157" s="45"/>
      <c r="I157" s="62">
        <v>174.4</v>
      </c>
      <c r="J157" s="62">
        <v>15.528918000000001</v>
      </c>
      <c r="K157" s="62">
        <v>174.4</v>
      </c>
      <c r="L157" s="80"/>
      <c r="M157" s="91"/>
      <c r="N157" s="46"/>
    </row>
    <row r="158" spans="1:14" x14ac:dyDescent="0.25">
      <c r="A158" s="59">
        <v>28095</v>
      </c>
      <c r="B158" s="62"/>
      <c r="C158" s="45"/>
      <c r="D158" s="45"/>
      <c r="F158" s="45"/>
      <c r="G158" s="69" t="str">
        <f ca="1">IF(L157="","",G157+MAX(0,(1+L157)/ROUND(OFFSET(A158,0,FORMULÁRIO!$E$10-1)/OFFSET(A157,0,FORMULÁRIO!$E$10-1),4)-1)+IF(DATE(YEAR(FORMULÁRIO!Q$22),MONTH(FORMULÁRIO!Q$22),1)=TabelaCalculo[[#This Row],[DATA]],M157*(1-DAY(FORMULÁRIO!Q$22))/DAY(EOMONTH(TabelaCalculo[[#This Row],[DATA]],0)),0)+IF(DATE(YEAR(FORMULÁRIO!Q$24),MONTH(FORMULÁRIO!Q$24),1)=TabelaCalculo[[#This Row],[DATA]],M157*(-1+DAY(FORMULÁRIO!Q$24))/DAY(EOMONTH(TabelaCalculo[[#This Row],[DATA]],0)),0))</f>
        <v/>
      </c>
      <c r="H158" s="45"/>
      <c r="I158" s="62">
        <v>179.68</v>
      </c>
      <c r="J158" s="62">
        <v>15.99906</v>
      </c>
      <c r="K158" s="62">
        <v>179.68</v>
      </c>
      <c r="L158" s="80"/>
      <c r="M158" s="91"/>
      <c r="N158" s="46"/>
    </row>
    <row r="159" spans="1:14" x14ac:dyDescent="0.25">
      <c r="A159" s="59">
        <v>28126</v>
      </c>
      <c r="B159" s="62"/>
      <c r="C159" s="45"/>
      <c r="D159" s="45"/>
      <c r="F159" s="45"/>
      <c r="G159" s="69" t="str">
        <f ca="1">IF(L158="","",G158+MAX(0,(1+L158)/ROUND(OFFSET(A159,0,FORMULÁRIO!$E$10-1)/OFFSET(A158,0,FORMULÁRIO!$E$10-1),4)-1)+IF(DATE(YEAR(FORMULÁRIO!Q$22),MONTH(FORMULÁRIO!Q$22),1)=TabelaCalculo[[#This Row],[DATA]],M158*(1-DAY(FORMULÁRIO!Q$22))/DAY(EOMONTH(TabelaCalculo[[#This Row],[DATA]],0)),0)+IF(DATE(YEAR(FORMULÁRIO!Q$24),MONTH(FORMULÁRIO!Q$24),1)=TabelaCalculo[[#This Row],[DATA]],M158*(-1+DAY(FORMULÁRIO!Q$24))/DAY(EOMONTH(TabelaCalculo[[#This Row],[DATA]],0)),0))</f>
        <v/>
      </c>
      <c r="H159" s="45"/>
      <c r="I159" s="62">
        <v>183.65</v>
      </c>
      <c r="J159" s="62">
        <v>16.352557000000001</v>
      </c>
      <c r="K159" s="62">
        <v>183.65</v>
      </c>
      <c r="L159" s="80"/>
      <c r="M159" s="91"/>
      <c r="N159" s="46"/>
    </row>
    <row r="160" spans="1:14" x14ac:dyDescent="0.25">
      <c r="A160" s="59">
        <v>28157</v>
      </c>
      <c r="B160" s="62"/>
      <c r="C160" s="45"/>
      <c r="D160" s="45"/>
      <c r="F160" s="45"/>
      <c r="G160" s="69" t="str">
        <f ca="1">IF(L159="","",G159+MAX(0,(1+L159)/ROUND(OFFSET(A160,0,FORMULÁRIO!$E$10-1)/OFFSET(A159,0,FORMULÁRIO!$E$10-1),4)-1)+IF(DATE(YEAR(FORMULÁRIO!Q$22),MONTH(FORMULÁRIO!Q$22),1)=TabelaCalculo[[#This Row],[DATA]],M159*(1-DAY(FORMULÁRIO!Q$22))/DAY(EOMONTH(TabelaCalculo[[#This Row],[DATA]],0)),0)+IF(DATE(YEAR(FORMULÁRIO!Q$24),MONTH(FORMULÁRIO!Q$24),1)=TabelaCalculo[[#This Row],[DATA]],M159*(-1+DAY(FORMULÁRIO!Q$24))/DAY(EOMONTH(TabelaCalculo[[#This Row],[DATA]],0)),0))</f>
        <v/>
      </c>
      <c r="H160" s="45"/>
      <c r="I160" s="62">
        <v>186.83</v>
      </c>
      <c r="J160" s="62">
        <v>16.63571</v>
      </c>
      <c r="K160" s="62">
        <v>186.83</v>
      </c>
      <c r="L160" s="80"/>
      <c r="M160" s="91"/>
      <c r="N160" s="46"/>
    </row>
    <row r="161" spans="1:14" x14ac:dyDescent="0.25">
      <c r="A161" s="59">
        <v>28185</v>
      </c>
      <c r="B161" s="62"/>
      <c r="C161" s="45"/>
      <c r="D161" s="45"/>
      <c r="F161" s="45"/>
      <c r="G161" s="69" t="str">
        <f ca="1">IF(L160="","",G160+MAX(0,(1+L160)/ROUND(OFFSET(A161,0,FORMULÁRIO!$E$10-1)/OFFSET(A160,0,FORMULÁRIO!$E$10-1),4)-1)+IF(DATE(YEAR(FORMULÁRIO!Q$22),MONTH(FORMULÁRIO!Q$22),1)=TabelaCalculo[[#This Row],[DATA]],M160*(1-DAY(FORMULÁRIO!Q$22))/DAY(EOMONTH(TabelaCalculo[[#This Row],[DATA]],0)),0)+IF(DATE(YEAR(FORMULÁRIO!Q$24),MONTH(FORMULÁRIO!Q$24),1)=TabelaCalculo[[#This Row],[DATA]],M160*(-1+DAY(FORMULÁRIO!Q$24))/DAY(EOMONTH(TabelaCalculo[[#This Row],[DATA]],0)),0))</f>
        <v/>
      </c>
      <c r="H161" s="45"/>
      <c r="I161" s="62">
        <v>190.51</v>
      </c>
      <c r="J161" s="62">
        <v>16.963384000000001</v>
      </c>
      <c r="K161" s="62">
        <v>190.51</v>
      </c>
      <c r="L161" s="80"/>
      <c r="M161" s="91"/>
      <c r="N161" s="46"/>
    </row>
    <row r="162" spans="1:14" x14ac:dyDescent="0.25">
      <c r="A162" s="59">
        <v>28216</v>
      </c>
      <c r="B162" s="62"/>
      <c r="C162" s="45"/>
      <c r="D162" s="45"/>
      <c r="F162" s="45"/>
      <c r="G162" s="69" t="str">
        <f ca="1">IF(L161="","",G161+MAX(0,(1+L161)/ROUND(OFFSET(A162,0,FORMULÁRIO!$E$10-1)/OFFSET(A161,0,FORMULÁRIO!$E$10-1),4)-1)+IF(DATE(YEAR(FORMULÁRIO!Q$22),MONTH(FORMULÁRIO!Q$22),1)=TabelaCalculo[[#This Row],[DATA]],M161*(1-DAY(FORMULÁRIO!Q$22))/DAY(EOMONTH(TabelaCalculo[[#This Row],[DATA]],0)),0)+IF(DATE(YEAR(FORMULÁRIO!Q$24),MONTH(FORMULÁRIO!Q$24),1)=TabelaCalculo[[#This Row],[DATA]],M161*(-1+DAY(FORMULÁRIO!Q$24))/DAY(EOMONTH(TabelaCalculo[[#This Row],[DATA]],0)),0))</f>
        <v/>
      </c>
      <c r="H162" s="45"/>
      <c r="I162" s="62">
        <v>194.83</v>
      </c>
      <c r="J162" s="62">
        <v>17.348046</v>
      </c>
      <c r="K162" s="62">
        <v>194.83</v>
      </c>
      <c r="L162" s="80"/>
      <c r="M162" s="91"/>
      <c r="N162" s="46"/>
    </row>
    <row r="163" spans="1:14" x14ac:dyDescent="0.25">
      <c r="A163" s="59">
        <v>28246</v>
      </c>
      <c r="B163" s="62"/>
      <c r="C163" s="45"/>
      <c r="D163" s="45"/>
      <c r="F163" s="45"/>
      <c r="G163" s="69" t="str">
        <f ca="1">IF(L162="","",G162+MAX(0,(1+L162)/ROUND(OFFSET(A163,0,FORMULÁRIO!$E$10-1)/OFFSET(A162,0,FORMULÁRIO!$E$10-1),4)-1)+IF(DATE(YEAR(FORMULÁRIO!Q$22),MONTH(FORMULÁRIO!Q$22),1)=TabelaCalculo[[#This Row],[DATA]],M162*(1-DAY(FORMULÁRIO!Q$22))/DAY(EOMONTH(TabelaCalculo[[#This Row],[DATA]],0)),0)+IF(DATE(YEAR(FORMULÁRIO!Q$24),MONTH(FORMULÁRIO!Q$24),1)=TabelaCalculo[[#This Row],[DATA]],M162*(-1+DAY(FORMULÁRIO!Q$24))/DAY(EOMONTH(TabelaCalculo[[#This Row],[DATA]],0)),0))</f>
        <v/>
      </c>
      <c r="H163" s="45"/>
      <c r="I163" s="62">
        <v>200.45</v>
      </c>
      <c r="J163" s="62">
        <v>17.848462000000001</v>
      </c>
      <c r="K163" s="62">
        <v>200.45</v>
      </c>
      <c r="L163" s="80"/>
      <c r="M163" s="91"/>
      <c r="N163" s="46"/>
    </row>
    <row r="164" spans="1:14" x14ac:dyDescent="0.25">
      <c r="A164" s="59">
        <v>28277</v>
      </c>
      <c r="B164" s="62"/>
      <c r="C164" s="45"/>
      <c r="D164" s="45"/>
      <c r="F164" s="45"/>
      <c r="G164" s="69" t="str">
        <f ca="1">IF(L163="","",G163+MAX(0,(1+L163)/ROUND(OFFSET(A164,0,FORMULÁRIO!$E$10-1)/OFFSET(A163,0,FORMULÁRIO!$E$10-1),4)-1)+IF(DATE(YEAR(FORMULÁRIO!Q$22),MONTH(FORMULÁRIO!Q$22),1)=TabelaCalculo[[#This Row],[DATA]],M163*(1-DAY(FORMULÁRIO!Q$22))/DAY(EOMONTH(TabelaCalculo[[#This Row],[DATA]],0)),0)+IF(DATE(YEAR(FORMULÁRIO!Q$24),MONTH(FORMULÁRIO!Q$24),1)=TabelaCalculo[[#This Row],[DATA]],M163*(-1+DAY(FORMULÁRIO!Q$24))/DAY(EOMONTH(TabelaCalculo[[#This Row],[DATA]],0)),0))</f>
        <v/>
      </c>
      <c r="H164" s="45"/>
      <c r="I164" s="62">
        <v>206.9</v>
      </c>
      <c r="J164" s="62">
        <v>18.422782000000002</v>
      </c>
      <c r="K164" s="62">
        <v>206.9</v>
      </c>
      <c r="L164" s="80"/>
      <c r="M164" s="91"/>
      <c r="N164" s="46"/>
    </row>
    <row r="165" spans="1:14" x14ac:dyDescent="0.25">
      <c r="A165" s="59">
        <v>28307</v>
      </c>
      <c r="B165" s="62"/>
      <c r="C165" s="45"/>
      <c r="D165" s="45"/>
      <c r="F165" s="45"/>
      <c r="G165" s="69" t="str">
        <f ca="1">IF(L164="","",G164+MAX(0,(1+L164)/ROUND(OFFSET(A165,0,FORMULÁRIO!$E$10-1)/OFFSET(A164,0,FORMULÁRIO!$E$10-1),4)-1)+IF(DATE(YEAR(FORMULÁRIO!Q$22),MONTH(FORMULÁRIO!Q$22),1)=TabelaCalculo[[#This Row],[DATA]],M164*(1-DAY(FORMULÁRIO!Q$22))/DAY(EOMONTH(TabelaCalculo[[#This Row],[DATA]],0)),0)+IF(DATE(YEAR(FORMULÁRIO!Q$24),MONTH(FORMULÁRIO!Q$24),1)=TabelaCalculo[[#This Row],[DATA]],M164*(-1+DAY(FORMULÁRIO!Q$24))/DAY(EOMONTH(TabelaCalculo[[#This Row],[DATA]],0)),0))</f>
        <v/>
      </c>
      <c r="H165" s="45"/>
      <c r="I165" s="62">
        <v>213.8</v>
      </c>
      <c r="J165" s="62">
        <v>19.037172000000002</v>
      </c>
      <c r="K165" s="62">
        <v>213.8</v>
      </c>
      <c r="L165" s="80"/>
      <c r="M165" s="91"/>
      <c r="N165" s="46"/>
    </row>
    <row r="166" spans="1:14" x14ac:dyDescent="0.25">
      <c r="A166" s="59">
        <v>28338</v>
      </c>
      <c r="B166" s="62"/>
      <c r="C166" s="45"/>
      <c r="D166" s="45"/>
      <c r="F166" s="45"/>
      <c r="G166" s="69" t="str">
        <f ca="1">IF(L165="","",G165+MAX(0,(1+L165)/ROUND(OFFSET(A166,0,FORMULÁRIO!$E$10-1)/OFFSET(A165,0,FORMULÁRIO!$E$10-1),4)-1)+IF(DATE(YEAR(FORMULÁRIO!Q$22),MONTH(FORMULÁRIO!Q$22),1)=TabelaCalculo[[#This Row],[DATA]],M165*(1-DAY(FORMULÁRIO!Q$22))/DAY(EOMONTH(TabelaCalculo[[#This Row],[DATA]],0)),0)+IF(DATE(YEAR(FORMULÁRIO!Q$24),MONTH(FORMULÁRIO!Q$24),1)=TabelaCalculo[[#This Row],[DATA]],M165*(-1+DAY(FORMULÁRIO!Q$24))/DAY(EOMONTH(TabelaCalculo[[#This Row],[DATA]],0)),0))</f>
        <v/>
      </c>
      <c r="H166" s="45"/>
      <c r="I166" s="62">
        <v>219.51</v>
      </c>
      <c r="J166" s="62">
        <v>19.545601000000001</v>
      </c>
      <c r="K166" s="62">
        <v>219.51</v>
      </c>
      <c r="L166" s="80"/>
      <c r="M166" s="91"/>
      <c r="N166" s="46"/>
    </row>
    <row r="167" spans="1:14" x14ac:dyDescent="0.25">
      <c r="A167" s="59">
        <v>28369</v>
      </c>
      <c r="B167" s="62"/>
      <c r="C167" s="45"/>
      <c r="D167" s="45"/>
      <c r="F167" s="45"/>
      <c r="G167" s="69" t="str">
        <f ca="1">IF(L166="","",G166+MAX(0,(1+L166)/ROUND(OFFSET(A167,0,FORMULÁRIO!$E$10-1)/OFFSET(A166,0,FORMULÁRIO!$E$10-1),4)-1)+IF(DATE(YEAR(FORMULÁRIO!Q$22),MONTH(FORMULÁRIO!Q$22),1)=TabelaCalculo[[#This Row],[DATA]],M166*(1-DAY(FORMULÁRIO!Q$22))/DAY(EOMONTH(TabelaCalculo[[#This Row],[DATA]],0)),0)+IF(DATE(YEAR(FORMULÁRIO!Q$24),MONTH(FORMULÁRIO!Q$24),1)=TabelaCalculo[[#This Row],[DATA]],M166*(-1+DAY(FORMULÁRIO!Q$24))/DAY(EOMONTH(TabelaCalculo[[#This Row],[DATA]],0)),0))</f>
        <v/>
      </c>
      <c r="H167" s="45"/>
      <c r="I167" s="62">
        <v>224.01</v>
      </c>
      <c r="J167" s="62">
        <v>19.946290000000001</v>
      </c>
      <c r="K167" s="62">
        <v>224.01</v>
      </c>
      <c r="L167" s="80"/>
      <c r="M167" s="91"/>
      <c r="N167" s="46"/>
    </row>
    <row r="168" spans="1:14" x14ac:dyDescent="0.25">
      <c r="A168" s="59">
        <v>28399</v>
      </c>
      <c r="B168" s="62"/>
      <c r="C168" s="45"/>
      <c r="D168" s="45"/>
      <c r="F168" s="45"/>
      <c r="G168" s="69" t="str">
        <f ca="1">IF(L167="","",G167+MAX(0,(1+L167)/ROUND(OFFSET(A168,0,FORMULÁRIO!$E$10-1)/OFFSET(A167,0,FORMULÁRIO!$E$10-1),4)-1)+IF(DATE(YEAR(FORMULÁRIO!Q$22),MONTH(FORMULÁRIO!Q$22),1)=TabelaCalculo[[#This Row],[DATA]],M167*(1-DAY(FORMULÁRIO!Q$22))/DAY(EOMONTH(TabelaCalculo[[#This Row],[DATA]],0)),0)+IF(DATE(YEAR(FORMULÁRIO!Q$24),MONTH(FORMULÁRIO!Q$24),1)=TabelaCalculo[[#This Row],[DATA]],M167*(-1+DAY(FORMULÁRIO!Q$24))/DAY(EOMONTH(TabelaCalculo[[#This Row],[DATA]],0)),0))</f>
        <v/>
      </c>
      <c r="H168" s="45"/>
      <c r="I168" s="62">
        <v>227.15</v>
      </c>
      <c r="J168" s="62">
        <v>20.225881999999999</v>
      </c>
      <c r="K168" s="62">
        <v>227.15</v>
      </c>
      <c r="L168" s="80"/>
      <c r="M168" s="91"/>
      <c r="N168" s="46"/>
    </row>
    <row r="169" spans="1:14" x14ac:dyDescent="0.25">
      <c r="A169" s="59">
        <v>28430</v>
      </c>
      <c r="B169" s="62"/>
      <c r="C169" s="45"/>
      <c r="D169" s="45"/>
      <c r="F169" s="45"/>
      <c r="G169" s="69" t="str">
        <f ca="1">IF(L168="","",G168+MAX(0,(1+L168)/ROUND(OFFSET(A169,0,FORMULÁRIO!$E$10-1)/OFFSET(A168,0,FORMULÁRIO!$E$10-1),4)-1)+IF(DATE(YEAR(FORMULÁRIO!Q$22),MONTH(FORMULÁRIO!Q$22),1)=TabelaCalculo[[#This Row],[DATA]],M168*(1-DAY(FORMULÁRIO!Q$22))/DAY(EOMONTH(TabelaCalculo[[#This Row],[DATA]],0)),0)+IF(DATE(YEAR(FORMULÁRIO!Q$24),MONTH(FORMULÁRIO!Q$24),1)=TabelaCalculo[[#This Row],[DATA]],M168*(-1+DAY(FORMULÁRIO!Q$24))/DAY(EOMONTH(TabelaCalculo[[#This Row],[DATA]],0)),0))</f>
        <v/>
      </c>
      <c r="H169" s="45"/>
      <c r="I169" s="62">
        <v>230.3</v>
      </c>
      <c r="J169" s="62">
        <v>20.506364000000001</v>
      </c>
      <c r="K169" s="62">
        <v>230.3</v>
      </c>
      <c r="L169" s="80"/>
      <c r="M169" s="91"/>
      <c r="N169" s="46"/>
    </row>
    <row r="170" spans="1:14" x14ac:dyDescent="0.25">
      <c r="A170" s="59">
        <v>28460</v>
      </c>
      <c r="B170" s="62"/>
      <c r="C170" s="45"/>
      <c r="D170" s="45"/>
      <c r="F170" s="45"/>
      <c r="G170" s="69" t="str">
        <f ca="1">IF(L169="","",G169+MAX(0,(1+L169)/ROUND(OFFSET(A170,0,FORMULÁRIO!$E$10-1)/OFFSET(A169,0,FORMULÁRIO!$E$10-1),4)-1)+IF(DATE(YEAR(FORMULÁRIO!Q$22),MONTH(FORMULÁRIO!Q$22),1)=TabelaCalculo[[#This Row],[DATA]],M169*(1-DAY(FORMULÁRIO!Q$22))/DAY(EOMONTH(TabelaCalculo[[#This Row],[DATA]],0)),0)+IF(DATE(YEAR(FORMULÁRIO!Q$24),MONTH(FORMULÁRIO!Q$24),1)=TabelaCalculo[[#This Row],[DATA]],M169*(-1+DAY(FORMULÁRIO!Q$24))/DAY(EOMONTH(TabelaCalculo[[#This Row],[DATA]],0)),0))</f>
        <v/>
      </c>
      <c r="H170" s="45"/>
      <c r="I170" s="62">
        <v>233.74</v>
      </c>
      <c r="J170" s="62">
        <v>20.812667999999999</v>
      </c>
      <c r="K170" s="62">
        <v>233.74</v>
      </c>
      <c r="L170" s="80"/>
      <c r="M170" s="91"/>
      <c r="N170" s="46"/>
    </row>
    <row r="171" spans="1:14" x14ac:dyDescent="0.25">
      <c r="A171" s="59">
        <v>28491</v>
      </c>
      <c r="B171" s="62"/>
      <c r="C171" s="45"/>
      <c r="D171" s="45"/>
      <c r="F171" s="45"/>
      <c r="G171" s="69" t="str">
        <f ca="1">IF(L170="","",G170+MAX(0,(1+L170)/ROUND(OFFSET(A171,0,FORMULÁRIO!$E$10-1)/OFFSET(A170,0,FORMULÁRIO!$E$10-1),4)-1)+IF(DATE(YEAR(FORMULÁRIO!Q$22),MONTH(FORMULÁRIO!Q$22),1)=TabelaCalculo[[#This Row],[DATA]],M170*(1-DAY(FORMULÁRIO!Q$22))/DAY(EOMONTH(TabelaCalculo[[#This Row],[DATA]],0)),0)+IF(DATE(YEAR(FORMULÁRIO!Q$24),MONTH(FORMULÁRIO!Q$24),1)=TabelaCalculo[[#This Row],[DATA]],M170*(-1+DAY(FORMULÁRIO!Q$24))/DAY(EOMONTH(TabelaCalculo[[#This Row],[DATA]],0)),0))</f>
        <v/>
      </c>
      <c r="H171" s="45"/>
      <c r="I171" s="62">
        <v>238.32</v>
      </c>
      <c r="J171" s="62">
        <v>21.220480999999999</v>
      </c>
      <c r="K171" s="62">
        <v>238.32</v>
      </c>
      <c r="L171" s="80"/>
      <c r="M171" s="91"/>
      <c r="N171" s="46"/>
    </row>
    <row r="172" spans="1:14" x14ac:dyDescent="0.25">
      <c r="A172" s="59">
        <v>28522</v>
      </c>
      <c r="B172" s="62"/>
      <c r="C172" s="45"/>
      <c r="D172" s="45"/>
      <c r="F172" s="45"/>
      <c r="G172" s="69" t="str">
        <f ca="1">IF(L171="","",G171+MAX(0,(1+L171)/ROUND(OFFSET(A172,0,FORMULÁRIO!$E$10-1)/OFFSET(A171,0,FORMULÁRIO!$E$10-1),4)-1)+IF(DATE(YEAR(FORMULÁRIO!Q$22),MONTH(FORMULÁRIO!Q$22),1)=TabelaCalculo[[#This Row],[DATA]],M171*(1-DAY(FORMULÁRIO!Q$22))/DAY(EOMONTH(TabelaCalculo[[#This Row],[DATA]],0)),0)+IF(DATE(YEAR(FORMULÁRIO!Q$24),MONTH(FORMULÁRIO!Q$24),1)=TabelaCalculo[[#This Row],[DATA]],M171*(-1+DAY(FORMULÁRIO!Q$24))/DAY(EOMONTH(TabelaCalculo[[#This Row],[DATA]],0)),0))</f>
        <v/>
      </c>
      <c r="H172" s="45"/>
      <c r="I172" s="62">
        <v>243.35</v>
      </c>
      <c r="J172" s="62">
        <v>21.668361999999998</v>
      </c>
      <c r="K172" s="62">
        <v>243.35</v>
      </c>
      <c r="L172" s="80"/>
      <c r="M172" s="91"/>
      <c r="N172" s="46"/>
    </row>
    <row r="173" spans="1:14" x14ac:dyDescent="0.25">
      <c r="A173" s="59">
        <v>28550</v>
      </c>
      <c r="B173" s="62"/>
      <c r="C173" s="45"/>
      <c r="D173" s="45"/>
      <c r="F173" s="45"/>
      <c r="G173" s="69" t="str">
        <f ca="1">IF(L172="","",G172+MAX(0,(1+L172)/ROUND(OFFSET(A173,0,FORMULÁRIO!$E$10-1)/OFFSET(A172,0,FORMULÁRIO!$E$10-1),4)-1)+IF(DATE(YEAR(FORMULÁRIO!Q$22),MONTH(FORMULÁRIO!Q$22),1)=TabelaCalculo[[#This Row],[DATA]],M172*(1-DAY(FORMULÁRIO!Q$22))/DAY(EOMONTH(TabelaCalculo[[#This Row],[DATA]],0)),0)+IF(DATE(YEAR(FORMULÁRIO!Q$24),MONTH(FORMULÁRIO!Q$24),1)=TabelaCalculo[[#This Row],[DATA]],M172*(-1+DAY(FORMULÁRIO!Q$24))/DAY(EOMONTH(TabelaCalculo[[#This Row],[DATA]],0)),0))</f>
        <v/>
      </c>
      <c r="H173" s="45"/>
      <c r="I173" s="62">
        <v>248.99</v>
      </c>
      <c r="J173" s="62">
        <v>22.170558</v>
      </c>
      <c r="K173" s="62">
        <v>248.99</v>
      </c>
      <c r="L173" s="80"/>
      <c r="M173" s="91"/>
      <c r="N173" s="46"/>
    </row>
    <row r="174" spans="1:14" x14ac:dyDescent="0.25">
      <c r="A174" s="59">
        <v>28581</v>
      </c>
      <c r="B174" s="62"/>
      <c r="C174" s="45"/>
      <c r="D174" s="45"/>
      <c r="F174" s="45"/>
      <c r="G174" s="69" t="str">
        <f ca="1">IF(L173="","",G173+MAX(0,(1+L173)/ROUND(OFFSET(A174,0,FORMULÁRIO!$E$10-1)/OFFSET(A173,0,FORMULÁRIO!$E$10-1),4)-1)+IF(DATE(YEAR(FORMULÁRIO!Q$22),MONTH(FORMULÁRIO!Q$22),1)=TabelaCalculo[[#This Row],[DATA]],M173*(1-DAY(FORMULÁRIO!Q$22))/DAY(EOMONTH(TabelaCalculo[[#This Row],[DATA]],0)),0)+IF(DATE(YEAR(FORMULÁRIO!Q$24),MONTH(FORMULÁRIO!Q$24),1)=TabelaCalculo[[#This Row],[DATA]],M173*(-1+DAY(FORMULÁRIO!Q$24))/DAY(EOMONTH(TabelaCalculo[[#This Row],[DATA]],0)),0))</f>
        <v/>
      </c>
      <c r="H174" s="45"/>
      <c r="I174" s="62">
        <v>255.41</v>
      </c>
      <c r="J174" s="62">
        <v>22.742208000000002</v>
      </c>
      <c r="K174" s="62">
        <v>255.41</v>
      </c>
      <c r="L174" s="80"/>
      <c r="M174" s="91"/>
      <c r="N174" s="46"/>
    </row>
    <row r="175" spans="1:14" x14ac:dyDescent="0.25">
      <c r="A175" s="59">
        <v>28611</v>
      </c>
      <c r="B175" s="62"/>
      <c r="C175" s="45"/>
      <c r="D175" s="45"/>
      <c r="F175" s="45"/>
      <c r="G175" s="69" t="str">
        <f ca="1">IF(L174="","",G174+MAX(0,(1+L174)/ROUND(OFFSET(A175,0,FORMULÁRIO!$E$10-1)/OFFSET(A174,0,FORMULÁRIO!$E$10-1),4)-1)+IF(DATE(YEAR(FORMULÁRIO!Q$22),MONTH(FORMULÁRIO!Q$22),1)=TabelaCalculo[[#This Row],[DATA]],M174*(1-DAY(FORMULÁRIO!Q$22))/DAY(EOMONTH(TabelaCalculo[[#This Row],[DATA]],0)),0)+IF(DATE(YEAR(FORMULÁRIO!Q$24),MONTH(FORMULÁRIO!Q$24),1)=TabelaCalculo[[#This Row],[DATA]],M174*(-1+DAY(FORMULÁRIO!Q$24))/DAY(EOMONTH(TabelaCalculo[[#This Row],[DATA]],0)),0))</f>
        <v/>
      </c>
      <c r="H175" s="45"/>
      <c r="I175" s="62">
        <v>262.87</v>
      </c>
      <c r="J175" s="62">
        <v>23.406461</v>
      </c>
      <c r="K175" s="62">
        <v>262.87</v>
      </c>
      <c r="L175" s="80"/>
      <c r="M175" s="91"/>
      <c r="N175" s="46"/>
    </row>
    <row r="176" spans="1:14" x14ac:dyDescent="0.25">
      <c r="A176" s="59">
        <v>28642</v>
      </c>
      <c r="B176" s="62"/>
      <c r="C176" s="45"/>
      <c r="D176" s="45"/>
      <c r="F176" s="45"/>
      <c r="G176" s="69" t="str">
        <f ca="1">IF(L175="","",G175+MAX(0,(1+L175)/ROUND(OFFSET(A176,0,FORMULÁRIO!$E$10-1)/OFFSET(A175,0,FORMULÁRIO!$E$10-1),4)-1)+IF(DATE(YEAR(FORMULÁRIO!Q$22),MONTH(FORMULÁRIO!Q$22),1)=TabelaCalculo[[#This Row],[DATA]],M175*(1-DAY(FORMULÁRIO!Q$22))/DAY(EOMONTH(TabelaCalculo[[#This Row],[DATA]],0)),0)+IF(DATE(YEAR(FORMULÁRIO!Q$24),MONTH(FORMULÁRIO!Q$24),1)=TabelaCalculo[[#This Row],[DATA]],M175*(-1+DAY(FORMULÁRIO!Q$24))/DAY(EOMONTH(TabelaCalculo[[#This Row],[DATA]],0)),0))</f>
        <v/>
      </c>
      <c r="H176" s="45"/>
      <c r="I176" s="62">
        <v>270.88</v>
      </c>
      <c r="J176" s="62">
        <v>24.119686999999999</v>
      </c>
      <c r="K176" s="62">
        <v>270.88</v>
      </c>
      <c r="L176" s="80"/>
      <c r="M176" s="91"/>
      <c r="N176" s="46"/>
    </row>
    <row r="177" spans="1:14" x14ac:dyDescent="0.25">
      <c r="A177" s="59">
        <v>28672</v>
      </c>
      <c r="B177" s="62"/>
      <c r="C177" s="45"/>
      <c r="D177" s="45"/>
      <c r="F177" s="45"/>
      <c r="G177" s="69" t="str">
        <f ca="1">IF(L176="","",G176+MAX(0,(1+L176)/ROUND(OFFSET(A177,0,FORMULÁRIO!$E$10-1)/OFFSET(A176,0,FORMULÁRIO!$E$10-1),4)-1)+IF(DATE(YEAR(FORMULÁRIO!Q$22),MONTH(FORMULÁRIO!Q$22),1)=TabelaCalculo[[#This Row],[DATA]],M176*(1-DAY(FORMULÁRIO!Q$22))/DAY(EOMONTH(TabelaCalculo[[#This Row],[DATA]],0)),0)+IF(DATE(YEAR(FORMULÁRIO!Q$24),MONTH(FORMULÁRIO!Q$24),1)=TabelaCalculo[[#This Row],[DATA]],M176*(-1+DAY(FORMULÁRIO!Q$24))/DAY(EOMONTH(TabelaCalculo[[#This Row],[DATA]],0)),0))</f>
        <v/>
      </c>
      <c r="H177" s="45"/>
      <c r="I177" s="62">
        <v>279.04000000000002</v>
      </c>
      <c r="J177" s="62">
        <v>24.846268999999999</v>
      </c>
      <c r="K177" s="62">
        <v>279.04000000000002</v>
      </c>
      <c r="L177" s="80"/>
      <c r="M177" s="91"/>
      <c r="N177" s="46"/>
    </row>
    <row r="178" spans="1:14" x14ac:dyDescent="0.25">
      <c r="A178" s="59">
        <v>28703</v>
      </c>
      <c r="B178" s="62"/>
      <c r="C178" s="45"/>
      <c r="D178" s="45"/>
      <c r="F178" s="45"/>
      <c r="G178" s="69" t="str">
        <f ca="1">IF(L177="","",G177+MAX(0,(1+L177)/ROUND(OFFSET(A178,0,FORMULÁRIO!$E$10-1)/OFFSET(A177,0,FORMULÁRIO!$E$10-1),4)-1)+IF(DATE(YEAR(FORMULÁRIO!Q$22),MONTH(FORMULÁRIO!Q$22),1)=TabelaCalculo[[#This Row],[DATA]],M177*(1-DAY(FORMULÁRIO!Q$22))/DAY(EOMONTH(TabelaCalculo[[#This Row],[DATA]],0)),0)+IF(DATE(YEAR(FORMULÁRIO!Q$24),MONTH(FORMULÁRIO!Q$24),1)=TabelaCalculo[[#This Row],[DATA]],M177*(-1+DAY(FORMULÁRIO!Q$24))/DAY(EOMONTH(TabelaCalculo[[#This Row],[DATA]],0)),0))</f>
        <v/>
      </c>
      <c r="H178" s="45"/>
      <c r="I178" s="62">
        <v>287.58</v>
      </c>
      <c r="J178" s="62">
        <v>25.606687999999998</v>
      </c>
      <c r="K178" s="62">
        <v>287.58</v>
      </c>
      <c r="L178" s="80"/>
      <c r="M178" s="91"/>
      <c r="N178" s="46"/>
    </row>
    <row r="179" spans="1:14" x14ac:dyDescent="0.25">
      <c r="A179" s="59">
        <v>28734</v>
      </c>
      <c r="B179" s="62"/>
      <c r="C179" s="45"/>
      <c r="D179" s="45"/>
      <c r="F179" s="45"/>
      <c r="G179" s="69" t="str">
        <f ca="1">IF(L178="","",G178+MAX(0,(1+L178)/ROUND(OFFSET(A179,0,FORMULÁRIO!$E$10-1)/OFFSET(A178,0,FORMULÁRIO!$E$10-1),4)-1)+IF(DATE(YEAR(FORMULÁRIO!Q$22),MONTH(FORMULÁRIO!Q$22),1)=TabelaCalculo[[#This Row],[DATA]],M178*(1-DAY(FORMULÁRIO!Q$22))/DAY(EOMONTH(TabelaCalculo[[#This Row],[DATA]],0)),0)+IF(DATE(YEAR(FORMULÁRIO!Q$24),MONTH(FORMULÁRIO!Q$24),1)=TabelaCalculo[[#This Row],[DATA]],M178*(-1+DAY(FORMULÁRIO!Q$24))/DAY(EOMONTH(TabelaCalculo[[#This Row],[DATA]],0)),0))</f>
        <v/>
      </c>
      <c r="H179" s="45"/>
      <c r="I179" s="62">
        <v>295.57</v>
      </c>
      <c r="J179" s="62">
        <v>26.318133</v>
      </c>
      <c r="K179" s="62">
        <v>295.57</v>
      </c>
      <c r="L179" s="80"/>
      <c r="M179" s="91"/>
      <c r="N179" s="46"/>
    </row>
    <row r="180" spans="1:14" x14ac:dyDescent="0.25">
      <c r="A180" s="59">
        <v>28764</v>
      </c>
      <c r="B180" s="62"/>
      <c r="C180" s="45"/>
      <c r="D180" s="45"/>
      <c r="F180" s="45"/>
      <c r="G180" s="69" t="str">
        <f ca="1">IF(L179="","",G179+MAX(0,(1+L179)/ROUND(OFFSET(A180,0,FORMULÁRIO!$E$10-1)/OFFSET(A179,0,FORMULÁRIO!$E$10-1),4)-1)+IF(DATE(YEAR(FORMULÁRIO!Q$22),MONTH(FORMULÁRIO!Q$22),1)=TabelaCalculo[[#This Row],[DATA]],M179*(1-DAY(FORMULÁRIO!Q$22))/DAY(EOMONTH(TabelaCalculo[[#This Row],[DATA]],0)),0)+IF(DATE(YEAR(FORMULÁRIO!Q$24),MONTH(FORMULÁRIO!Q$24),1)=TabelaCalculo[[#This Row],[DATA]],M179*(-1+DAY(FORMULÁRIO!Q$24))/DAY(EOMONTH(TabelaCalculo[[#This Row],[DATA]],0)),0))</f>
        <v/>
      </c>
      <c r="H180" s="45"/>
      <c r="I180" s="62">
        <v>303.29000000000002</v>
      </c>
      <c r="J180" s="62">
        <v>27.005537</v>
      </c>
      <c r="K180" s="62">
        <v>303.29000000000002</v>
      </c>
      <c r="L180" s="80"/>
      <c r="M180" s="91"/>
      <c r="N180" s="46"/>
    </row>
    <row r="181" spans="1:14" x14ac:dyDescent="0.25">
      <c r="A181" s="59">
        <v>28795</v>
      </c>
      <c r="B181" s="62"/>
      <c r="C181" s="45"/>
      <c r="D181" s="45"/>
      <c r="F181" s="45"/>
      <c r="G181" s="69" t="str">
        <f ca="1">IF(L180="","",G180+MAX(0,(1+L180)/ROUND(OFFSET(A181,0,FORMULÁRIO!$E$10-1)/OFFSET(A180,0,FORMULÁRIO!$E$10-1),4)-1)+IF(DATE(YEAR(FORMULÁRIO!Q$22),MONTH(FORMULÁRIO!Q$22),1)=TabelaCalculo[[#This Row],[DATA]],M180*(1-DAY(FORMULÁRIO!Q$22))/DAY(EOMONTH(TabelaCalculo[[#This Row],[DATA]],0)),0)+IF(DATE(YEAR(FORMULÁRIO!Q$24),MONTH(FORMULÁRIO!Q$24),1)=TabelaCalculo[[#This Row],[DATA]],M180*(-1+DAY(FORMULÁRIO!Q$24))/DAY(EOMONTH(TabelaCalculo[[#This Row],[DATA]],0)),0))</f>
        <v/>
      </c>
      <c r="H181" s="45"/>
      <c r="I181" s="62">
        <v>310.49</v>
      </c>
      <c r="J181" s="62">
        <v>27.646639</v>
      </c>
      <c r="K181" s="62">
        <v>310.49</v>
      </c>
      <c r="L181" s="80"/>
      <c r="M181" s="91"/>
      <c r="N181" s="46"/>
    </row>
    <row r="182" spans="1:14" x14ac:dyDescent="0.25">
      <c r="A182" s="59">
        <v>28825</v>
      </c>
      <c r="B182" s="62"/>
      <c r="C182" s="45"/>
      <c r="D182" s="45"/>
      <c r="F182" s="45"/>
      <c r="G182" s="69" t="str">
        <f ca="1">IF(L181="","",G181+MAX(0,(1+L181)/ROUND(OFFSET(A182,0,FORMULÁRIO!$E$10-1)/OFFSET(A181,0,FORMULÁRIO!$E$10-1),4)-1)+IF(DATE(YEAR(FORMULÁRIO!Q$22),MONTH(FORMULÁRIO!Q$22),1)=TabelaCalculo[[#This Row],[DATA]],M181*(1-DAY(FORMULÁRIO!Q$22))/DAY(EOMONTH(TabelaCalculo[[#This Row],[DATA]],0)),0)+IF(DATE(YEAR(FORMULÁRIO!Q$24),MONTH(FORMULÁRIO!Q$24),1)=TabelaCalculo[[#This Row],[DATA]],M181*(-1+DAY(FORMULÁRIO!Q$24))/DAY(EOMONTH(TabelaCalculo[[#This Row],[DATA]],0)),0))</f>
        <v/>
      </c>
      <c r="H182" s="45"/>
      <c r="I182" s="62">
        <v>318.44</v>
      </c>
      <c r="J182" s="62">
        <v>28.354523</v>
      </c>
      <c r="K182" s="62">
        <v>318.44</v>
      </c>
      <c r="L182" s="80"/>
      <c r="M182" s="91"/>
      <c r="N182" s="46"/>
    </row>
    <row r="183" spans="1:14" x14ac:dyDescent="0.25">
      <c r="A183" s="59">
        <v>28856</v>
      </c>
      <c r="B183" s="62"/>
      <c r="C183" s="45"/>
      <c r="D183" s="45"/>
      <c r="F183" s="45"/>
      <c r="G183" s="69" t="str">
        <f ca="1">IF(L182="","",G182+MAX(0,(1+L182)/ROUND(OFFSET(A183,0,FORMULÁRIO!$E$10-1)/OFFSET(A182,0,FORMULÁRIO!$E$10-1),4)-1)+IF(DATE(YEAR(FORMULÁRIO!Q$22),MONTH(FORMULÁRIO!Q$22),1)=TabelaCalculo[[#This Row],[DATA]],M182*(1-DAY(FORMULÁRIO!Q$22))/DAY(EOMONTH(TabelaCalculo[[#This Row],[DATA]],0)),0)+IF(DATE(YEAR(FORMULÁRIO!Q$24),MONTH(FORMULÁRIO!Q$24),1)=TabelaCalculo[[#This Row],[DATA]],M182*(-1+DAY(FORMULÁRIO!Q$24))/DAY(EOMONTH(TabelaCalculo[[#This Row],[DATA]],0)),0))</f>
        <v/>
      </c>
      <c r="H183" s="45"/>
      <c r="I183" s="62">
        <v>326.82</v>
      </c>
      <c r="J183" s="62">
        <v>29.100694000000001</v>
      </c>
      <c r="K183" s="62">
        <v>326.82</v>
      </c>
      <c r="L183" s="80"/>
      <c r="M183" s="91"/>
      <c r="N183" s="46"/>
    </row>
    <row r="184" spans="1:14" x14ac:dyDescent="0.25">
      <c r="A184" s="59">
        <v>28887</v>
      </c>
      <c r="B184" s="62"/>
      <c r="C184" s="45"/>
      <c r="D184" s="45"/>
      <c r="F184" s="45"/>
      <c r="G184" s="69" t="str">
        <f ca="1">IF(L183="","",G183+MAX(0,(1+L183)/ROUND(OFFSET(A184,0,FORMULÁRIO!$E$10-1)/OFFSET(A183,0,FORMULÁRIO!$E$10-1),4)-1)+IF(DATE(YEAR(FORMULÁRIO!Q$22),MONTH(FORMULÁRIO!Q$22),1)=TabelaCalculo[[#This Row],[DATA]],M183*(1-DAY(FORMULÁRIO!Q$22))/DAY(EOMONTH(TabelaCalculo[[#This Row],[DATA]],0)),0)+IF(DATE(YEAR(FORMULÁRIO!Q$24),MONTH(FORMULÁRIO!Q$24),1)=TabelaCalculo[[#This Row],[DATA]],M183*(-1+DAY(FORMULÁRIO!Q$24))/DAY(EOMONTH(TabelaCalculo[[#This Row],[DATA]],0)),0))</f>
        <v/>
      </c>
      <c r="H184" s="45"/>
      <c r="I184" s="62">
        <v>334.2</v>
      </c>
      <c r="J184" s="62">
        <v>29.757823999999999</v>
      </c>
      <c r="K184" s="62">
        <v>334.2</v>
      </c>
      <c r="L184" s="80"/>
      <c r="M184" s="91"/>
      <c r="N184" s="46"/>
    </row>
    <row r="185" spans="1:14" x14ac:dyDescent="0.25">
      <c r="A185" s="59">
        <v>28915</v>
      </c>
      <c r="B185" s="62"/>
      <c r="C185" s="45"/>
      <c r="D185" s="45"/>
      <c r="F185" s="45"/>
      <c r="G185" s="69" t="str">
        <f ca="1">IF(L184="","",G184+MAX(0,(1+L184)/ROUND(OFFSET(A185,0,FORMULÁRIO!$E$10-1)/OFFSET(A184,0,FORMULÁRIO!$E$10-1),4)-1)+IF(DATE(YEAR(FORMULÁRIO!Q$22),MONTH(FORMULÁRIO!Q$22),1)=TabelaCalculo[[#This Row],[DATA]],M184*(1-DAY(FORMULÁRIO!Q$22))/DAY(EOMONTH(TabelaCalculo[[#This Row],[DATA]],0)),0)+IF(DATE(YEAR(FORMULÁRIO!Q$24),MONTH(FORMULÁRIO!Q$24),1)=TabelaCalculo[[#This Row],[DATA]],M184*(-1+DAY(FORMULÁRIO!Q$24))/DAY(EOMONTH(TabelaCalculo[[#This Row],[DATA]],0)),0))</f>
        <v/>
      </c>
      <c r="H185" s="45"/>
      <c r="I185" s="62">
        <v>341.97</v>
      </c>
      <c r="J185" s="62">
        <v>30.449680000000001</v>
      </c>
      <c r="K185" s="62">
        <v>341.97</v>
      </c>
      <c r="L185" s="80"/>
      <c r="M185" s="91"/>
      <c r="N185" s="46"/>
    </row>
    <row r="186" spans="1:14" x14ac:dyDescent="0.25">
      <c r="A186" s="59">
        <v>28946</v>
      </c>
      <c r="B186" s="62"/>
      <c r="C186" s="45"/>
      <c r="D186" s="45"/>
      <c r="F186" s="45"/>
      <c r="G186" s="69" t="str">
        <f ca="1">IF(L185="","",G185+MAX(0,(1+L185)/ROUND(OFFSET(A186,0,FORMULÁRIO!$E$10-1)/OFFSET(A185,0,FORMULÁRIO!$E$10-1),4)-1)+IF(DATE(YEAR(FORMULÁRIO!Q$22),MONTH(FORMULÁRIO!Q$22),1)=TabelaCalculo[[#This Row],[DATA]],M185*(1-DAY(FORMULÁRIO!Q$22))/DAY(EOMONTH(TabelaCalculo[[#This Row],[DATA]],0)),0)+IF(DATE(YEAR(FORMULÁRIO!Q$24),MONTH(FORMULÁRIO!Q$24),1)=TabelaCalculo[[#This Row],[DATA]],M185*(-1+DAY(FORMULÁRIO!Q$24))/DAY(EOMONTH(TabelaCalculo[[#This Row],[DATA]],0)),0))</f>
        <v/>
      </c>
      <c r="H186" s="45"/>
      <c r="I186" s="62">
        <v>350.51</v>
      </c>
      <c r="J186" s="62">
        <v>31.210099</v>
      </c>
      <c r="K186" s="62">
        <v>350.51</v>
      </c>
      <c r="L186" s="80"/>
      <c r="M186" s="91"/>
      <c r="N186" s="46"/>
    </row>
    <row r="187" spans="1:14" x14ac:dyDescent="0.25">
      <c r="A187" s="59">
        <v>28976</v>
      </c>
      <c r="B187" s="62"/>
      <c r="C187" s="45"/>
      <c r="D187" s="45"/>
      <c r="F187" s="45"/>
      <c r="G187" s="69" t="str">
        <f ca="1">IF(L186="","",G186+MAX(0,(1+L186)/ROUND(OFFSET(A187,0,FORMULÁRIO!$E$10-1)/OFFSET(A186,0,FORMULÁRIO!$E$10-1),4)-1)+IF(DATE(YEAR(FORMULÁRIO!Q$22),MONTH(FORMULÁRIO!Q$22),1)=TabelaCalculo[[#This Row],[DATA]],M186*(1-DAY(FORMULÁRIO!Q$22))/DAY(EOMONTH(TabelaCalculo[[#This Row],[DATA]],0)),0)+IF(DATE(YEAR(FORMULÁRIO!Q$24),MONTH(FORMULÁRIO!Q$24),1)=TabelaCalculo[[#This Row],[DATA]],M186*(-1+DAY(FORMULÁRIO!Q$24))/DAY(EOMONTH(TabelaCalculo[[#This Row],[DATA]],0)),0))</f>
        <v/>
      </c>
      <c r="H187" s="45"/>
      <c r="I187" s="62">
        <v>363.64</v>
      </c>
      <c r="J187" s="62">
        <v>32.379218999999999</v>
      </c>
      <c r="K187" s="62">
        <v>363.64</v>
      </c>
      <c r="L187" s="80"/>
      <c r="M187" s="91"/>
      <c r="N187" s="46"/>
    </row>
    <row r="188" spans="1:14" x14ac:dyDescent="0.25">
      <c r="A188" s="59">
        <v>29007</v>
      </c>
      <c r="B188" s="62"/>
      <c r="C188" s="45"/>
      <c r="D188" s="45"/>
      <c r="F188" s="45"/>
      <c r="G188" s="69" t="str">
        <f ca="1">IF(L187="","",G187+MAX(0,(1+L187)/ROUND(OFFSET(A188,0,FORMULÁRIO!$E$10-1)/OFFSET(A187,0,FORMULÁRIO!$E$10-1),4)-1)+IF(DATE(YEAR(FORMULÁRIO!Q$22),MONTH(FORMULÁRIO!Q$22),1)=TabelaCalculo[[#This Row],[DATA]],M187*(1-DAY(FORMULÁRIO!Q$22))/DAY(EOMONTH(TabelaCalculo[[#This Row],[DATA]],0)),0)+IF(DATE(YEAR(FORMULÁRIO!Q$24),MONTH(FORMULÁRIO!Q$24),1)=TabelaCalculo[[#This Row],[DATA]],M187*(-1+DAY(FORMULÁRIO!Q$24))/DAY(EOMONTH(TabelaCalculo[[#This Row],[DATA]],0)),0))</f>
        <v/>
      </c>
      <c r="H188" s="45"/>
      <c r="I188" s="62">
        <v>377.54</v>
      </c>
      <c r="J188" s="62">
        <v>33.616903000000001</v>
      </c>
      <c r="K188" s="62">
        <v>377.54</v>
      </c>
      <c r="L188" s="80"/>
      <c r="M188" s="91"/>
      <c r="N188" s="46"/>
    </row>
    <row r="189" spans="1:14" x14ac:dyDescent="0.25">
      <c r="A189" s="59">
        <v>29037</v>
      </c>
      <c r="B189" s="62"/>
      <c r="C189" s="45"/>
      <c r="D189" s="45"/>
      <c r="F189" s="45"/>
      <c r="G189" s="69" t="str">
        <f ca="1">IF(L188="","",G188+MAX(0,(1+L188)/ROUND(OFFSET(A189,0,FORMULÁRIO!$E$10-1)/OFFSET(A188,0,FORMULÁRIO!$E$10-1),4)-1)+IF(DATE(YEAR(FORMULÁRIO!Q$22),MONTH(FORMULÁRIO!Q$22),1)=TabelaCalculo[[#This Row],[DATA]],M188*(1-DAY(FORMULÁRIO!Q$22))/DAY(EOMONTH(TabelaCalculo[[#This Row],[DATA]],0)),0)+IF(DATE(YEAR(FORMULÁRIO!Q$24),MONTH(FORMULÁRIO!Q$24),1)=TabelaCalculo[[#This Row],[DATA]],M188*(-1+DAY(FORMULÁRIO!Q$24))/DAY(EOMONTH(TabelaCalculo[[#This Row],[DATA]],0)),0))</f>
        <v/>
      </c>
      <c r="H189" s="45"/>
      <c r="I189" s="62">
        <v>390.1</v>
      </c>
      <c r="J189" s="62">
        <v>34.73527</v>
      </c>
      <c r="K189" s="62">
        <v>390.1</v>
      </c>
      <c r="L189" s="80"/>
      <c r="M189" s="91"/>
      <c r="N189" s="46"/>
    </row>
    <row r="190" spans="1:14" x14ac:dyDescent="0.25">
      <c r="A190" s="59">
        <v>29068</v>
      </c>
      <c r="B190" s="62"/>
      <c r="C190" s="45"/>
      <c r="D190" s="45"/>
      <c r="F190" s="45"/>
      <c r="G190" s="69" t="str">
        <f ca="1">IF(L189="","",G189+MAX(0,(1+L189)/ROUND(OFFSET(A190,0,FORMULÁRIO!$E$10-1)/OFFSET(A189,0,FORMULÁRIO!$E$10-1),4)-1)+IF(DATE(YEAR(FORMULÁRIO!Q$22),MONTH(FORMULÁRIO!Q$22),1)=TabelaCalculo[[#This Row],[DATA]],M189*(1-DAY(FORMULÁRIO!Q$22))/DAY(EOMONTH(TabelaCalculo[[#This Row],[DATA]],0)),0)+IF(DATE(YEAR(FORMULÁRIO!Q$24),MONTH(FORMULÁRIO!Q$24),1)=TabelaCalculo[[#This Row],[DATA]],M189*(-1+DAY(FORMULÁRIO!Q$24))/DAY(EOMONTH(TabelaCalculo[[#This Row],[DATA]],0)),0))</f>
        <v/>
      </c>
      <c r="H190" s="45"/>
      <c r="I190" s="62">
        <v>400.71</v>
      </c>
      <c r="J190" s="62">
        <v>35.680005000000001</v>
      </c>
      <c r="K190" s="62">
        <v>400.71</v>
      </c>
      <c r="L190" s="80"/>
      <c r="M190" s="91"/>
      <c r="N190" s="46"/>
    </row>
    <row r="191" spans="1:14" x14ac:dyDescent="0.25">
      <c r="A191" s="59">
        <v>29099</v>
      </c>
      <c r="B191" s="62"/>
      <c r="C191" s="45"/>
      <c r="D191" s="45"/>
      <c r="F191" s="45"/>
      <c r="G191" s="69" t="str">
        <f ca="1">IF(L190="","",G190+MAX(0,(1+L190)/ROUND(OFFSET(A191,0,FORMULÁRIO!$E$10-1)/OFFSET(A190,0,FORMULÁRIO!$E$10-1),4)-1)+IF(DATE(YEAR(FORMULÁRIO!Q$22),MONTH(FORMULÁRIO!Q$22),1)=TabelaCalculo[[#This Row],[DATA]],M190*(1-DAY(FORMULÁRIO!Q$22))/DAY(EOMONTH(TabelaCalculo[[#This Row],[DATA]],0)),0)+IF(DATE(YEAR(FORMULÁRIO!Q$24),MONTH(FORMULÁRIO!Q$24),1)=TabelaCalculo[[#This Row],[DATA]],M190*(-1+DAY(FORMULÁRIO!Q$24))/DAY(EOMONTH(TabelaCalculo[[#This Row],[DATA]],0)),0))</f>
        <v/>
      </c>
      <c r="H191" s="45"/>
      <c r="I191" s="62">
        <v>412.24</v>
      </c>
      <c r="J191" s="62">
        <v>36.706659000000002</v>
      </c>
      <c r="K191" s="62">
        <v>412.24</v>
      </c>
      <c r="L191" s="80"/>
      <c r="M191" s="91"/>
      <c r="N191" s="46"/>
    </row>
    <row r="192" spans="1:14" x14ac:dyDescent="0.25">
      <c r="A192" s="59">
        <v>29129</v>
      </c>
      <c r="B192" s="62"/>
      <c r="C192" s="45"/>
      <c r="D192" s="45"/>
      <c r="F192" s="45"/>
      <c r="G192" s="69" t="str">
        <f ca="1">IF(L191="","",G191+MAX(0,(1+L191)/ROUND(OFFSET(A192,0,FORMULÁRIO!$E$10-1)/OFFSET(A191,0,FORMULÁRIO!$E$10-1),4)-1)+IF(DATE(YEAR(FORMULÁRIO!Q$22),MONTH(FORMULÁRIO!Q$22),1)=TabelaCalculo[[#This Row],[DATA]],M191*(1-DAY(FORMULÁRIO!Q$22))/DAY(EOMONTH(TabelaCalculo[[#This Row],[DATA]],0)),0)+IF(DATE(YEAR(FORMULÁRIO!Q$24),MONTH(FORMULÁRIO!Q$24),1)=TabelaCalculo[[#This Row],[DATA]],M191*(-1+DAY(FORMULÁRIO!Q$24))/DAY(EOMONTH(TabelaCalculo[[#This Row],[DATA]],0)),0))</f>
        <v/>
      </c>
      <c r="H192" s="45"/>
      <c r="I192" s="62">
        <v>428.8</v>
      </c>
      <c r="J192" s="62">
        <v>38.181193999999998</v>
      </c>
      <c r="K192" s="62">
        <v>428.8</v>
      </c>
      <c r="L192" s="80"/>
      <c r="M192" s="91"/>
      <c r="N192" s="46"/>
    </row>
    <row r="193" spans="1:14" x14ac:dyDescent="0.25">
      <c r="A193" s="59">
        <v>29160</v>
      </c>
      <c r="B193" s="62"/>
      <c r="C193" s="45"/>
      <c r="D193" s="45"/>
      <c r="F193" s="45"/>
      <c r="G193" s="69" t="str">
        <f ca="1">IF(L192="","",G192+MAX(0,(1+L192)/ROUND(OFFSET(A193,0,FORMULÁRIO!$E$10-1)/OFFSET(A192,0,FORMULÁRIO!$E$10-1),4)-1)+IF(DATE(YEAR(FORMULÁRIO!Q$22),MONTH(FORMULÁRIO!Q$22),1)=TabelaCalculo[[#This Row],[DATA]],M192*(1-DAY(FORMULÁRIO!Q$22))/DAY(EOMONTH(TabelaCalculo[[#This Row],[DATA]],0)),0)+IF(DATE(YEAR(FORMULÁRIO!Q$24),MONTH(FORMULÁRIO!Q$24),1)=TabelaCalculo[[#This Row],[DATA]],M192*(-1+DAY(FORMULÁRIO!Q$24))/DAY(EOMONTH(TabelaCalculo[[#This Row],[DATA]],0)),0))</f>
        <v/>
      </c>
      <c r="H193" s="45"/>
      <c r="I193" s="62">
        <v>448.47</v>
      </c>
      <c r="J193" s="62">
        <v>39.932648999999998</v>
      </c>
      <c r="K193" s="62">
        <v>448.47</v>
      </c>
      <c r="L193" s="80"/>
      <c r="M193" s="91"/>
      <c r="N193" s="46"/>
    </row>
    <row r="194" spans="1:14" x14ac:dyDescent="0.25">
      <c r="A194" s="59">
        <v>29190</v>
      </c>
      <c r="B194" s="62"/>
      <c r="C194" s="45"/>
      <c r="D194" s="45"/>
      <c r="F194" s="45"/>
      <c r="G194" s="69" t="str">
        <f ca="1">IF(L193="","",G193+MAX(0,(1+L193)/ROUND(OFFSET(A194,0,FORMULÁRIO!$E$10-1)/OFFSET(A193,0,FORMULÁRIO!$E$10-1),4)-1)+IF(DATE(YEAR(FORMULÁRIO!Q$22),MONTH(FORMULÁRIO!Q$22),1)=TabelaCalculo[[#This Row],[DATA]],M193*(1-DAY(FORMULÁRIO!Q$22))/DAY(EOMONTH(TabelaCalculo[[#This Row],[DATA]],0)),0)+IF(DATE(YEAR(FORMULÁRIO!Q$24),MONTH(FORMULÁRIO!Q$24),1)=TabelaCalculo[[#This Row],[DATA]],M193*(-1+DAY(FORMULÁRIO!Q$24))/DAY(EOMONTH(TabelaCalculo[[#This Row],[DATA]],0)),0))</f>
        <v/>
      </c>
      <c r="H194" s="45"/>
      <c r="I194" s="62">
        <v>468.71</v>
      </c>
      <c r="J194" s="62">
        <v>41.734859</v>
      </c>
      <c r="K194" s="62">
        <v>468.71</v>
      </c>
      <c r="L194" s="80"/>
      <c r="M194" s="91"/>
      <c r="N194" s="46"/>
    </row>
    <row r="195" spans="1:14" x14ac:dyDescent="0.25">
      <c r="A195" s="59">
        <v>29221</v>
      </c>
      <c r="B195" s="62"/>
      <c r="C195" s="45"/>
      <c r="D195" s="45"/>
      <c r="F195" s="45"/>
      <c r="G195" s="69" t="str">
        <f ca="1">IF(L194="","",G194+MAX(0,(1+L194)/ROUND(OFFSET(A195,0,FORMULÁRIO!$E$10-1)/OFFSET(A194,0,FORMULÁRIO!$E$10-1),4)-1)+IF(DATE(YEAR(FORMULÁRIO!Q$22),MONTH(FORMULÁRIO!Q$22),1)=TabelaCalculo[[#This Row],[DATA]],M194*(1-DAY(FORMULÁRIO!Q$22))/DAY(EOMONTH(TabelaCalculo[[#This Row],[DATA]],0)),0)+IF(DATE(YEAR(FORMULÁRIO!Q$24),MONTH(FORMULÁRIO!Q$24),1)=TabelaCalculo[[#This Row],[DATA]],M194*(-1+DAY(FORMULÁRIO!Q$24))/DAY(EOMONTH(TabelaCalculo[[#This Row],[DATA]],0)),0))</f>
        <v/>
      </c>
      <c r="H195" s="45"/>
      <c r="I195" s="62">
        <v>487.83</v>
      </c>
      <c r="J195" s="62">
        <v>43.437341000000004</v>
      </c>
      <c r="K195" s="62">
        <v>487.83</v>
      </c>
      <c r="L195" s="80"/>
      <c r="M195" s="91"/>
      <c r="N195" s="46"/>
    </row>
    <row r="196" spans="1:14" x14ac:dyDescent="0.25">
      <c r="A196" s="59">
        <v>29252</v>
      </c>
      <c r="B196" s="62"/>
      <c r="C196" s="45"/>
      <c r="D196" s="45"/>
      <c r="F196" s="45"/>
      <c r="G196" s="69" t="str">
        <f ca="1">IF(L195="","",G195+MAX(0,(1+L195)/ROUND(OFFSET(A196,0,FORMULÁRIO!$E$10-1)/OFFSET(A195,0,FORMULÁRIO!$E$10-1),4)-1)+IF(DATE(YEAR(FORMULÁRIO!Q$22),MONTH(FORMULÁRIO!Q$22),1)=TabelaCalculo[[#This Row],[DATA]],M195*(1-DAY(FORMULÁRIO!Q$22))/DAY(EOMONTH(TabelaCalculo[[#This Row],[DATA]],0)),0)+IF(DATE(YEAR(FORMULÁRIO!Q$24),MONTH(FORMULÁRIO!Q$24),1)=TabelaCalculo[[#This Row],[DATA]],M195*(-1+DAY(FORMULÁRIO!Q$24))/DAY(EOMONTH(TabelaCalculo[[#This Row],[DATA]],0)),0))</f>
        <v/>
      </c>
      <c r="H196" s="45"/>
      <c r="I196" s="62">
        <v>508.33</v>
      </c>
      <c r="J196" s="62">
        <v>45.262701</v>
      </c>
      <c r="K196" s="62">
        <v>508.33</v>
      </c>
      <c r="L196" s="80"/>
      <c r="M196" s="91"/>
      <c r="N196" s="46"/>
    </row>
    <row r="197" spans="1:14" x14ac:dyDescent="0.25">
      <c r="A197" s="59">
        <v>29281</v>
      </c>
      <c r="B197" s="62"/>
      <c r="C197" s="45"/>
      <c r="D197" s="45"/>
      <c r="F197" s="45"/>
      <c r="G197" s="69" t="str">
        <f ca="1">IF(L196="","",G196+MAX(0,(1+L196)/ROUND(OFFSET(A197,0,FORMULÁRIO!$E$10-1)/OFFSET(A196,0,FORMULÁRIO!$E$10-1),4)-1)+IF(DATE(YEAR(FORMULÁRIO!Q$22),MONTH(FORMULÁRIO!Q$22),1)=TabelaCalculo[[#This Row],[DATA]],M196*(1-DAY(FORMULÁRIO!Q$22))/DAY(EOMONTH(TabelaCalculo[[#This Row],[DATA]],0)),0)+IF(DATE(YEAR(FORMULÁRIO!Q$24),MONTH(FORMULÁRIO!Q$24),1)=TabelaCalculo[[#This Row],[DATA]],M196*(-1+DAY(FORMULÁRIO!Q$24))/DAY(EOMONTH(TabelaCalculo[[#This Row],[DATA]],0)),0))</f>
        <v/>
      </c>
      <c r="H197" s="45"/>
      <c r="I197" s="62">
        <v>527.14</v>
      </c>
      <c r="J197" s="62">
        <v>46.937579999999997</v>
      </c>
      <c r="K197" s="62">
        <v>527.14</v>
      </c>
      <c r="L197" s="80"/>
      <c r="M197" s="91"/>
      <c r="N197" s="46"/>
    </row>
    <row r="198" spans="1:14" x14ac:dyDescent="0.25">
      <c r="A198" s="59">
        <v>29312</v>
      </c>
      <c r="B198" s="62"/>
      <c r="C198" s="45"/>
      <c r="D198" s="45"/>
      <c r="F198" s="45"/>
      <c r="G198" s="69" t="str">
        <f ca="1">IF(L197="","",G197+MAX(0,(1+L197)/ROUND(OFFSET(A198,0,FORMULÁRIO!$E$10-1)/OFFSET(A197,0,FORMULÁRIO!$E$10-1),4)-1)+IF(DATE(YEAR(FORMULÁRIO!Q$22),MONTH(FORMULÁRIO!Q$22),1)=TabelaCalculo[[#This Row],[DATA]],M197*(1-DAY(FORMULÁRIO!Q$22))/DAY(EOMONTH(TabelaCalculo[[#This Row],[DATA]],0)),0)+IF(DATE(YEAR(FORMULÁRIO!Q$24),MONTH(FORMULÁRIO!Q$24),1)=TabelaCalculo[[#This Row],[DATA]],M197*(-1+DAY(FORMULÁRIO!Q$24))/DAY(EOMONTH(TabelaCalculo[[#This Row],[DATA]],0)),0))</f>
        <v/>
      </c>
      <c r="H198" s="45"/>
      <c r="I198" s="62">
        <v>546.64</v>
      </c>
      <c r="J198" s="62">
        <v>48.673898999999999</v>
      </c>
      <c r="K198" s="62">
        <v>546.64</v>
      </c>
      <c r="L198" s="80"/>
      <c r="M198" s="91"/>
      <c r="N198" s="46"/>
    </row>
    <row r="199" spans="1:14" x14ac:dyDescent="0.25">
      <c r="A199" s="59">
        <v>29342</v>
      </c>
      <c r="B199" s="62"/>
      <c r="C199" s="45"/>
      <c r="D199" s="45"/>
      <c r="F199" s="45"/>
      <c r="G199" s="69" t="str">
        <f ca="1">IF(L198="","",G198+MAX(0,(1+L198)/ROUND(OFFSET(A199,0,FORMULÁRIO!$E$10-1)/OFFSET(A198,0,FORMULÁRIO!$E$10-1),4)-1)+IF(DATE(YEAR(FORMULÁRIO!Q$22),MONTH(FORMULÁRIO!Q$22),1)=TabelaCalculo[[#This Row],[DATA]],M198*(1-DAY(FORMULÁRIO!Q$22))/DAY(EOMONTH(TabelaCalculo[[#This Row],[DATA]],0)),0)+IF(DATE(YEAR(FORMULÁRIO!Q$24),MONTH(FORMULÁRIO!Q$24),1)=TabelaCalculo[[#This Row],[DATA]],M198*(-1+DAY(FORMULÁRIO!Q$24))/DAY(EOMONTH(TabelaCalculo[[#This Row],[DATA]],0)),0))</f>
        <v/>
      </c>
      <c r="H199" s="45"/>
      <c r="I199" s="62">
        <v>566.86</v>
      </c>
      <c r="J199" s="62">
        <v>50.474327000000002</v>
      </c>
      <c r="K199" s="62">
        <v>566.86</v>
      </c>
      <c r="L199" s="80"/>
      <c r="M199" s="91"/>
      <c r="N199" s="46"/>
    </row>
    <row r="200" spans="1:14" x14ac:dyDescent="0.25">
      <c r="A200" s="59">
        <v>29373</v>
      </c>
      <c r="B200" s="62"/>
      <c r="C200" s="45"/>
      <c r="D200" s="45"/>
      <c r="F200" s="45"/>
      <c r="G200" s="69" t="str">
        <f ca="1">IF(L199="","",G199+MAX(0,(1+L199)/ROUND(OFFSET(A200,0,FORMULÁRIO!$E$10-1)/OFFSET(A199,0,FORMULÁRIO!$E$10-1),4)-1)+IF(DATE(YEAR(FORMULÁRIO!Q$22),MONTH(FORMULÁRIO!Q$22),1)=TabelaCalculo[[#This Row],[DATA]],M199*(1-DAY(FORMULÁRIO!Q$22))/DAY(EOMONTH(TabelaCalculo[[#This Row],[DATA]],0)),0)+IF(DATE(YEAR(FORMULÁRIO!Q$24),MONTH(FORMULÁRIO!Q$24),1)=TabelaCalculo[[#This Row],[DATA]],M199*(-1+DAY(FORMULÁRIO!Q$24))/DAY(EOMONTH(TabelaCalculo[[#This Row],[DATA]],0)),0))</f>
        <v/>
      </c>
      <c r="H200" s="45"/>
      <c r="I200" s="62">
        <v>586.13</v>
      </c>
      <c r="J200" s="62">
        <v>52.190165999999998</v>
      </c>
      <c r="K200" s="62">
        <v>586.13</v>
      </c>
      <c r="L200" s="80"/>
      <c r="M200" s="91"/>
      <c r="N200" s="46"/>
    </row>
    <row r="201" spans="1:14" x14ac:dyDescent="0.25">
      <c r="A201" s="59">
        <v>29403</v>
      </c>
      <c r="B201" s="62"/>
      <c r="C201" s="45"/>
      <c r="D201" s="45"/>
      <c r="F201" s="45"/>
      <c r="G201" s="69" t="str">
        <f ca="1">IF(L200="","",G200+MAX(0,(1+L200)/ROUND(OFFSET(A201,0,FORMULÁRIO!$E$10-1)/OFFSET(A200,0,FORMULÁRIO!$E$10-1),4)-1)+IF(DATE(YEAR(FORMULÁRIO!Q$22),MONTH(FORMULÁRIO!Q$22),1)=TabelaCalculo[[#This Row],[DATA]],M200*(1-DAY(FORMULÁRIO!Q$22))/DAY(EOMONTH(TabelaCalculo[[#This Row],[DATA]],0)),0)+IF(DATE(YEAR(FORMULÁRIO!Q$24),MONTH(FORMULÁRIO!Q$24),1)=TabelaCalculo[[#This Row],[DATA]],M200*(-1+DAY(FORMULÁRIO!Q$24))/DAY(EOMONTH(TabelaCalculo[[#This Row],[DATA]],0)),0))</f>
        <v/>
      </c>
      <c r="H201" s="45"/>
      <c r="I201" s="62">
        <v>604.89</v>
      </c>
      <c r="J201" s="62">
        <v>53.860593000000001</v>
      </c>
      <c r="K201" s="62">
        <v>604.89</v>
      </c>
      <c r="L201" s="80"/>
      <c r="M201" s="91"/>
      <c r="N201" s="46"/>
    </row>
    <row r="202" spans="1:14" x14ac:dyDescent="0.25">
      <c r="A202" s="59">
        <v>29434</v>
      </c>
      <c r="B202" s="62"/>
      <c r="C202" s="45"/>
      <c r="D202" s="45"/>
      <c r="F202" s="45"/>
      <c r="G202" s="69" t="str">
        <f ca="1">IF(L201="","",G201+MAX(0,(1+L201)/ROUND(OFFSET(A202,0,FORMULÁRIO!$E$10-1)/OFFSET(A201,0,FORMULÁRIO!$E$10-1),4)-1)+IF(DATE(YEAR(FORMULÁRIO!Q$22),MONTH(FORMULÁRIO!Q$22),1)=TabelaCalculo[[#This Row],[DATA]],M201*(1-DAY(FORMULÁRIO!Q$22))/DAY(EOMONTH(TabelaCalculo[[#This Row],[DATA]],0)),0)+IF(DATE(YEAR(FORMULÁRIO!Q$24),MONTH(FORMULÁRIO!Q$24),1)=TabelaCalculo[[#This Row],[DATA]],M201*(-1+DAY(FORMULÁRIO!Q$24))/DAY(EOMONTH(TabelaCalculo[[#This Row],[DATA]],0)),0))</f>
        <v/>
      </c>
      <c r="H202" s="45"/>
      <c r="I202" s="62">
        <v>624.25</v>
      </c>
      <c r="J202" s="62">
        <v>55.584446</v>
      </c>
      <c r="K202" s="62">
        <v>624.25</v>
      </c>
      <c r="L202" s="80"/>
      <c r="M202" s="91"/>
      <c r="N202" s="46"/>
    </row>
    <row r="203" spans="1:14" x14ac:dyDescent="0.25">
      <c r="A203" s="59">
        <v>29465</v>
      </c>
      <c r="B203" s="62"/>
      <c r="C203" s="45"/>
      <c r="D203" s="45"/>
      <c r="F203" s="45"/>
      <c r="G203" s="69" t="str">
        <f ca="1">IF(L202="","",G202+MAX(0,(1+L202)/ROUND(OFFSET(A203,0,FORMULÁRIO!$E$10-1)/OFFSET(A202,0,FORMULÁRIO!$E$10-1),4)-1)+IF(DATE(YEAR(FORMULÁRIO!Q$22),MONTH(FORMULÁRIO!Q$22),1)=TabelaCalculo[[#This Row],[DATA]],M202*(1-DAY(FORMULÁRIO!Q$22))/DAY(EOMONTH(TabelaCalculo[[#This Row],[DATA]],0)),0)+IF(DATE(YEAR(FORMULÁRIO!Q$24),MONTH(FORMULÁRIO!Q$24),1)=TabelaCalculo[[#This Row],[DATA]],M202*(-1+DAY(FORMULÁRIO!Q$24))/DAY(EOMONTH(TabelaCalculo[[#This Row],[DATA]],0)),0))</f>
        <v/>
      </c>
      <c r="H203" s="45"/>
      <c r="I203" s="62">
        <v>644.23</v>
      </c>
      <c r="J203" s="62">
        <v>57.363503999999999</v>
      </c>
      <c r="K203" s="62">
        <v>644.23</v>
      </c>
      <c r="L203" s="80"/>
      <c r="M203" s="91"/>
      <c r="N203" s="46"/>
    </row>
    <row r="204" spans="1:14" x14ac:dyDescent="0.25">
      <c r="A204" s="59">
        <v>29495</v>
      </c>
      <c r="B204" s="62"/>
      <c r="C204" s="45"/>
      <c r="D204" s="45"/>
      <c r="F204" s="45"/>
      <c r="G204" s="69" t="str">
        <f ca="1">IF(L203="","",G203+MAX(0,(1+L203)/ROUND(OFFSET(A204,0,FORMULÁRIO!$E$10-1)/OFFSET(A203,0,FORMULÁRIO!$E$10-1),4)-1)+IF(DATE(YEAR(FORMULÁRIO!Q$22),MONTH(FORMULÁRIO!Q$22),1)=TabelaCalculo[[#This Row],[DATA]],M203*(1-DAY(FORMULÁRIO!Q$22))/DAY(EOMONTH(TabelaCalculo[[#This Row],[DATA]],0)),0)+IF(DATE(YEAR(FORMULÁRIO!Q$24),MONTH(FORMULÁRIO!Q$24),1)=TabelaCalculo[[#This Row],[DATA]],M203*(-1+DAY(FORMULÁRIO!Q$24))/DAY(EOMONTH(TabelaCalculo[[#This Row],[DATA]],0)),0))</f>
        <v/>
      </c>
      <c r="H204" s="45"/>
      <c r="I204" s="62">
        <v>663.56</v>
      </c>
      <c r="J204" s="62">
        <v>59.084685</v>
      </c>
      <c r="K204" s="62">
        <v>663.56</v>
      </c>
      <c r="L204" s="80"/>
      <c r="M204" s="91"/>
      <c r="N204" s="46"/>
    </row>
    <row r="205" spans="1:14" x14ac:dyDescent="0.25">
      <c r="A205" s="59">
        <v>29526</v>
      </c>
      <c r="B205" s="62"/>
      <c r="C205" s="45"/>
      <c r="D205" s="45"/>
      <c r="F205" s="45"/>
      <c r="G205" s="69" t="str">
        <f ca="1">IF(L204="","",G204+MAX(0,(1+L204)/ROUND(OFFSET(A205,0,FORMULÁRIO!$E$10-1)/OFFSET(A204,0,FORMULÁRIO!$E$10-1),4)-1)+IF(DATE(YEAR(FORMULÁRIO!Q$22),MONTH(FORMULÁRIO!Q$22),1)=TabelaCalculo[[#This Row],[DATA]],M204*(1-DAY(FORMULÁRIO!Q$22))/DAY(EOMONTH(TabelaCalculo[[#This Row],[DATA]],0)),0)+IF(DATE(YEAR(FORMULÁRIO!Q$24),MONTH(FORMULÁRIO!Q$24),1)=TabelaCalculo[[#This Row],[DATA]],M204*(-1+DAY(FORMULÁRIO!Q$24))/DAY(EOMONTH(TabelaCalculo[[#This Row],[DATA]],0)),0))</f>
        <v/>
      </c>
      <c r="H205" s="45"/>
      <c r="I205" s="62">
        <v>684.79</v>
      </c>
      <c r="J205" s="62">
        <v>60.975045999999999</v>
      </c>
      <c r="K205" s="62">
        <v>684.79</v>
      </c>
      <c r="L205" s="80"/>
      <c r="M205" s="91"/>
      <c r="N205" s="46"/>
    </row>
    <row r="206" spans="1:14" x14ac:dyDescent="0.25">
      <c r="A206" s="59">
        <v>29556</v>
      </c>
      <c r="B206" s="62"/>
      <c r="C206" s="45"/>
      <c r="D206" s="45"/>
      <c r="F206" s="45"/>
      <c r="G206" s="69" t="str">
        <f ca="1">IF(L205="","",G205+MAX(0,(1+L205)/ROUND(OFFSET(A206,0,FORMULÁRIO!$E$10-1)/OFFSET(A205,0,FORMULÁRIO!$E$10-1),4)-1)+IF(DATE(YEAR(FORMULÁRIO!Q$22),MONTH(FORMULÁRIO!Q$22),1)=TabelaCalculo[[#This Row],[DATA]],M205*(1-DAY(FORMULÁRIO!Q$22))/DAY(EOMONTH(TabelaCalculo[[#This Row],[DATA]],0)),0)+IF(DATE(YEAR(FORMULÁRIO!Q$24),MONTH(FORMULÁRIO!Q$24),1)=TabelaCalculo[[#This Row],[DATA]],M205*(-1+DAY(FORMULÁRIO!Q$24))/DAY(EOMONTH(TabelaCalculo[[#This Row],[DATA]],0)),0))</f>
        <v/>
      </c>
      <c r="H206" s="45"/>
      <c r="I206" s="62">
        <v>706.7</v>
      </c>
      <c r="J206" s="62">
        <v>62.925955000000002</v>
      </c>
      <c r="K206" s="62">
        <v>706.7</v>
      </c>
      <c r="L206" s="80"/>
      <c r="M206" s="91"/>
      <c r="N206" s="46"/>
    </row>
    <row r="207" spans="1:14" x14ac:dyDescent="0.25">
      <c r="A207" s="59">
        <v>29587</v>
      </c>
      <c r="B207" s="62"/>
      <c r="C207" s="45"/>
      <c r="D207" s="45"/>
      <c r="F207" s="45"/>
      <c r="G207" s="69" t="str">
        <f ca="1">IF(L206="","",G206+MAX(0,(1+L206)/ROUND(OFFSET(A207,0,FORMULÁRIO!$E$10-1)/OFFSET(A206,0,FORMULÁRIO!$E$10-1),4)-1)+IF(DATE(YEAR(FORMULÁRIO!Q$22),MONTH(FORMULÁRIO!Q$22),1)=TabelaCalculo[[#This Row],[DATA]],M206*(1-DAY(FORMULÁRIO!Q$22))/DAY(EOMONTH(TabelaCalculo[[#This Row],[DATA]],0)),0)+IF(DATE(YEAR(FORMULÁRIO!Q$24),MONTH(FORMULÁRIO!Q$24),1)=TabelaCalculo[[#This Row],[DATA]],M206*(-1+DAY(FORMULÁRIO!Q$24))/DAY(EOMONTH(TabelaCalculo[[#This Row],[DATA]],0)),0))</f>
        <v/>
      </c>
      <c r="H207" s="45"/>
      <c r="I207" s="62">
        <v>738.5</v>
      </c>
      <c r="J207" s="62">
        <v>65.757490000000004</v>
      </c>
      <c r="K207" s="62">
        <v>738.5</v>
      </c>
      <c r="L207" s="80"/>
      <c r="M207" s="91"/>
      <c r="N207" s="46"/>
    </row>
    <row r="208" spans="1:14" x14ac:dyDescent="0.25">
      <c r="A208" s="59">
        <v>29618</v>
      </c>
      <c r="B208" s="62"/>
      <c r="C208" s="45"/>
      <c r="D208" s="45"/>
      <c r="F208" s="45"/>
      <c r="G208" s="69" t="str">
        <f ca="1">IF(L207="","",G207+MAX(0,(1+L207)/ROUND(OFFSET(A208,0,FORMULÁRIO!$E$10-1)/OFFSET(A207,0,FORMULÁRIO!$E$10-1),4)-1)+IF(DATE(YEAR(FORMULÁRIO!Q$22),MONTH(FORMULÁRIO!Q$22),1)=TabelaCalculo[[#This Row],[DATA]],M207*(1-DAY(FORMULÁRIO!Q$22))/DAY(EOMONTH(TabelaCalculo[[#This Row],[DATA]],0)),0)+IF(DATE(YEAR(FORMULÁRIO!Q$24),MONTH(FORMULÁRIO!Q$24),1)=TabelaCalculo[[#This Row],[DATA]],M207*(-1+DAY(FORMULÁRIO!Q$24))/DAY(EOMONTH(TabelaCalculo[[#This Row],[DATA]],0)),0))</f>
        <v/>
      </c>
      <c r="H208" s="45"/>
      <c r="I208" s="62">
        <v>775.43</v>
      </c>
      <c r="J208" s="62">
        <v>69.045810000000003</v>
      </c>
      <c r="K208" s="62">
        <v>775.43</v>
      </c>
      <c r="L208" s="80"/>
      <c r="M208" s="91"/>
      <c r="N208" s="46"/>
    </row>
    <row r="209" spans="1:14" x14ac:dyDescent="0.25">
      <c r="A209" s="59">
        <v>29646</v>
      </c>
      <c r="B209" s="62"/>
      <c r="C209" s="45"/>
      <c r="D209" s="45"/>
      <c r="F209" s="45"/>
      <c r="G209" s="69" t="str">
        <f ca="1">IF(L208="","",G208+MAX(0,(1+L208)/ROUND(OFFSET(A209,0,FORMULÁRIO!$E$10-1)/OFFSET(A208,0,FORMULÁRIO!$E$10-1),4)-1)+IF(DATE(YEAR(FORMULÁRIO!Q$22),MONTH(FORMULÁRIO!Q$22),1)=TabelaCalculo[[#This Row],[DATA]],M208*(1-DAY(FORMULÁRIO!Q$22))/DAY(EOMONTH(TabelaCalculo[[#This Row],[DATA]],0)),0)+IF(DATE(YEAR(FORMULÁRIO!Q$24),MONTH(FORMULÁRIO!Q$24),1)=TabelaCalculo[[#This Row],[DATA]],M208*(-1+DAY(FORMULÁRIO!Q$24))/DAY(EOMONTH(TabelaCalculo[[#This Row],[DATA]],0)),0))</f>
        <v/>
      </c>
      <c r="H209" s="45"/>
      <c r="I209" s="62">
        <v>825.83</v>
      </c>
      <c r="J209" s="62">
        <v>73.533524</v>
      </c>
      <c r="K209" s="62">
        <v>825.83</v>
      </c>
      <c r="L209" s="80"/>
      <c r="M209" s="91"/>
      <c r="N209" s="46"/>
    </row>
    <row r="210" spans="1:14" x14ac:dyDescent="0.25">
      <c r="A210" s="59">
        <v>29677</v>
      </c>
      <c r="B210" s="62"/>
      <c r="C210" s="45"/>
      <c r="D210" s="45"/>
      <c r="F210" s="45"/>
      <c r="G210" s="69" t="str">
        <f ca="1">IF(L209="","",G209+MAX(0,(1+L209)/ROUND(OFFSET(A210,0,FORMULÁRIO!$E$10-1)/OFFSET(A209,0,FORMULÁRIO!$E$10-1),4)-1)+IF(DATE(YEAR(FORMULÁRIO!Q$22),MONTH(FORMULÁRIO!Q$22),1)=TabelaCalculo[[#This Row],[DATA]],M209*(1-DAY(FORMULÁRIO!Q$22))/DAY(EOMONTH(TabelaCalculo[[#This Row],[DATA]],0)),0)+IF(DATE(YEAR(FORMULÁRIO!Q$24),MONTH(FORMULÁRIO!Q$24),1)=TabelaCalculo[[#This Row],[DATA]],M209*(-1+DAY(FORMULÁRIO!Q$24))/DAY(EOMONTH(TabelaCalculo[[#This Row],[DATA]],0)),0))</f>
        <v/>
      </c>
      <c r="H210" s="45"/>
      <c r="I210" s="62">
        <v>877.86</v>
      </c>
      <c r="J210" s="62">
        <v>78.166377999999995</v>
      </c>
      <c r="K210" s="62">
        <v>877.86</v>
      </c>
      <c r="L210" s="80"/>
      <c r="M210" s="91"/>
      <c r="N210" s="46"/>
    </row>
    <row r="211" spans="1:14" x14ac:dyDescent="0.25">
      <c r="A211" s="59">
        <v>29707</v>
      </c>
      <c r="B211" s="62"/>
      <c r="C211" s="45"/>
      <c r="D211" s="45"/>
      <c r="F211" s="45"/>
      <c r="G211" s="69" t="str">
        <f ca="1">IF(L210="","",G210+MAX(0,(1+L210)/ROUND(OFFSET(A211,0,FORMULÁRIO!$E$10-1)/OFFSET(A210,0,FORMULÁRIO!$E$10-1),4)-1)+IF(DATE(YEAR(FORMULÁRIO!Q$22),MONTH(FORMULÁRIO!Q$22),1)=TabelaCalculo[[#This Row],[DATA]],M210*(1-DAY(FORMULÁRIO!Q$22))/DAY(EOMONTH(TabelaCalculo[[#This Row],[DATA]],0)),0)+IF(DATE(YEAR(FORMULÁRIO!Q$24),MONTH(FORMULÁRIO!Q$24),1)=TabelaCalculo[[#This Row],[DATA]],M210*(-1+DAY(FORMULÁRIO!Q$24))/DAY(EOMONTH(TabelaCalculo[[#This Row],[DATA]],0)),0))</f>
        <v/>
      </c>
      <c r="H211" s="45"/>
      <c r="I211" s="62">
        <v>930.53</v>
      </c>
      <c r="J211" s="62">
        <v>82.856217999999998</v>
      </c>
      <c r="K211" s="62">
        <v>930.53</v>
      </c>
      <c r="L211" s="80"/>
      <c r="M211" s="91"/>
      <c r="N211" s="46"/>
    </row>
    <row r="212" spans="1:14" x14ac:dyDescent="0.25">
      <c r="A212" s="59">
        <v>29738</v>
      </c>
      <c r="B212" s="62"/>
      <c r="C212" s="45"/>
      <c r="D212" s="45"/>
      <c r="F212" s="45"/>
      <c r="G212" s="69" t="str">
        <f ca="1">IF(L211="","",G211+MAX(0,(1+L211)/ROUND(OFFSET(A212,0,FORMULÁRIO!$E$10-1)/OFFSET(A211,0,FORMULÁRIO!$E$10-1),4)-1)+IF(DATE(YEAR(FORMULÁRIO!Q$22),MONTH(FORMULÁRIO!Q$22),1)=TabelaCalculo[[#This Row],[DATA]],M211*(1-DAY(FORMULÁRIO!Q$22))/DAY(EOMONTH(TabelaCalculo[[#This Row],[DATA]],0)),0)+IF(DATE(YEAR(FORMULÁRIO!Q$24),MONTH(FORMULÁRIO!Q$24),1)=TabelaCalculo[[#This Row],[DATA]],M211*(-1+DAY(FORMULÁRIO!Q$24))/DAY(EOMONTH(TabelaCalculo[[#This Row],[DATA]],0)),0))</f>
        <v/>
      </c>
      <c r="H212" s="45"/>
      <c r="I212" s="62">
        <v>986.36</v>
      </c>
      <c r="J212" s="62">
        <v>87.827431000000004</v>
      </c>
      <c r="K212" s="62">
        <v>986.36</v>
      </c>
      <c r="L212" s="80"/>
      <c r="M212" s="91"/>
      <c r="N212" s="46"/>
    </row>
    <row r="213" spans="1:14" x14ac:dyDescent="0.25">
      <c r="A213" s="59">
        <v>29768</v>
      </c>
      <c r="B213" s="62"/>
      <c r="C213" s="46"/>
      <c r="D213" s="45"/>
      <c r="F213" s="45"/>
      <c r="G213" s="69" t="str">
        <f ca="1">IF(L212="","",G212+MAX(0,(1+L212)/ROUND(OFFSET(A213,0,FORMULÁRIO!$E$10-1)/OFFSET(A212,0,FORMULÁRIO!$E$10-1),4)-1)+IF(DATE(YEAR(FORMULÁRIO!Q$22),MONTH(FORMULÁRIO!Q$22),1)=TabelaCalculo[[#This Row],[DATA]],M212*(1-DAY(FORMULÁRIO!Q$22))/DAY(EOMONTH(TabelaCalculo[[#This Row],[DATA]],0)),0)+IF(DATE(YEAR(FORMULÁRIO!Q$24),MONTH(FORMULÁRIO!Q$24),1)=TabelaCalculo[[#This Row],[DATA]],M212*(-1+DAY(FORMULÁRIO!Q$24))/DAY(EOMONTH(TabelaCalculo[[#This Row],[DATA]],0)),0))</f>
        <v/>
      </c>
      <c r="H213" s="45"/>
      <c r="I213" s="62">
        <v>1045.54</v>
      </c>
      <c r="J213" s="62">
        <v>93.096934000000005</v>
      </c>
      <c r="K213" s="62">
        <v>1045.54</v>
      </c>
      <c r="L213" s="80"/>
      <c r="M213" s="91"/>
      <c r="N213" s="46"/>
    </row>
    <row r="214" spans="1:14" x14ac:dyDescent="0.25">
      <c r="A214" s="59">
        <v>29799</v>
      </c>
      <c r="B214" s="62"/>
      <c r="C214" s="46"/>
      <c r="D214" s="45"/>
      <c r="F214" s="45"/>
      <c r="G214" s="69" t="str">
        <f ca="1">IF(L213="","",G213+MAX(0,(1+L213)/ROUND(OFFSET(A214,0,FORMULÁRIO!$E$10-1)/OFFSET(A213,0,FORMULÁRIO!$E$10-1),4)-1)+IF(DATE(YEAR(FORMULÁRIO!Q$22),MONTH(FORMULÁRIO!Q$22),1)=TabelaCalculo[[#This Row],[DATA]],M213*(1-DAY(FORMULÁRIO!Q$22))/DAY(EOMONTH(TabelaCalculo[[#This Row],[DATA]],0)),0)+IF(DATE(YEAR(FORMULÁRIO!Q$24),MONTH(FORMULÁRIO!Q$24),1)=TabelaCalculo[[#This Row],[DATA]],M213*(-1+DAY(FORMULÁRIO!Q$24))/DAY(EOMONTH(TabelaCalculo[[#This Row],[DATA]],0)),0))</f>
        <v/>
      </c>
      <c r="H214" s="45"/>
      <c r="I214" s="62">
        <v>1108.27</v>
      </c>
      <c r="J214" s="62">
        <v>98.682536999999996</v>
      </c>
      <c r="K214" s="62">
        <v>1108.27</v>
      </c>
      <c r="L214" s="80"/>
      <c r="M214" s="91"/>
      <c r="N214" s="46"/>
    </row>
    <row r="215" spans="1:14" x14ac:dyDescent="0.25">
      <c r="A215" s="59">
        <v>29830</v>
      </c>
      <c r="B215" s="62"/>
      <c r="C215" s="46"/>
      <c r="D215" s="45"/>
      <c r="F215" s="45"/>
      <c r="G215" s="69" t="str">
        <f ca="1">IF(L214="","",G214+MAX(0,(1+L214)/ROUND(OFFSET(A215,0,FORMULÁRIO!$E$10-1)/OFFSET(A214,0,FORMULÁRIO!$E$10-1),4)-1)+IF(DATE(YEAR(FORMULÁRIO!Q$22),MONTH(FORMULÁRIO!Q$22),1)=TabelaCalculo[[#This Row],[DATA]],M214*(1-DAY(FORMULÁRIO!Q$22))/DAY(EOMONTH(TabelaCalculo[[#This Row],[DATA]],0)),0)+IF(DATE(YEAR(FORMULÁRIO!Q$24),MONTH(FORMULÁRIO!Q$24),1)=TabelaCalculo[[#This Row],[DATA]],M214*(-1+DAY(FORMULÁRIO!Q$24))/DAY(EOMONTH(TabelaCalculo[[#This Row],[DATA]],0)),0))</f>
        <v/>
      </c>
      <c r="H215" s="45"/>
      <c r="I215" s="62">
        <v>1172.55</v>
      </c>
      <c r="J215" s="62">
        <v>104.406154</v>
      </c>
      <c r="K215" s="62">
        <v>1172.55</v>
      </c>
      <c r="L215" s="80"/>
      <c r="M215" s="91"/>
      <c r="N215" s="46"/>
    </row>
    <row r="216" spans="1:14" x14ac:dyDescent="0.25">
      <c r="A216" s="59">
        <v>29860</v>
      </c>
      <c r="B216" s="62"/>
      <c r="C216" s="46"/>
      <c r="D216" s="45"/>
      <c r="F216" s="45"/>
      <c r="G216" s="69" t="str">
        <f ca="1">IF(L215="","",G215+MAX(0,(1+L215)/ROUND(OFFSET(A216,0,FORMULÁRIO!$E$10-1)/OFFSET(A215,0,FORMULÁRIO!$E$10-1),4)-1)+IF(DATE(YEAR(FORMULÁRIO!Q$22),MONTH(FORMULÁRIO!Q$22),1)=TabelaCalculo[[#This Row],[DATA]],M215*(1-DAY(FORMULÁRIO!Q$22))/DAY(EOMONTH(TabelaCalculo[[#This Row],[DATA]],0)),0)+IF(DATE(YEAR(FORMULÁRIO!Q$24),MONTH(FORMULÁRIO!Q$24),1)=TabelaCalculo[[#This Row],[DATA]],M215*(-1+DAY(FORMULÁRIO!Q$24))/DAY(EOMONTH(TabelaCalculo[[#This Row],[DATA]],0)),0))</f>
        <v/>
      </c>
      <c r="H216" s="45"/>
      <c r="I216" s="62">
        <v>1239.3900000000001</v>
      </c>
      <c r="J216" s="62">
        <v>110.357719</v>
      </c>
      <c r="K216" s="62">
        <v>1239.3900000000001</v>
      </c>
      <c r="L216" s="80"/>
      <c r="M216" s="91"/>
      <c r="N216" s="46"/>
    </row>
    <row r="217" spans="1:14" x14ac:dyDescent="0.25">
      <c r="A217" s="59">
        <v>29891</v>
      </c>
      <c r="B217" s="62"/>
      <c r="C217" s="46"/>
      <c r="D217" s="45"/>
      <c r="F217" s="45"/>
      <c r="G217" s="69" t="str">
        <f ca="1">IF(L216="","",G216+MAX(0,(1+L216)/ROUND(OFFSET(A217,0,FORMULÁRIO!$E$10-1)/OFFSET(A216,0,FORMULÁRIO!$E$10-1),4)-1)+IF(DATE(YEAR(FORMULÁRIO!Q$22),MONTH(FORMULÁRIO!Q$22),1)=TabelaCalculo[[#This Row],[DATA]],M216*(1-DAY(FORMULÁRIO!Q$22))/DAY(EOMONTH(TabelaCalculo[[#This Row],[DATA]],0)),0)+IF(DATE(YEAR(FORMULÁRIO!Q$24),MONTH(FORMULÁRIO!Q$24),1)=TabelaCalculo[[#This Row],[DATA]],M216*(-1+DAY(FORMULÁRIO!Q$24))/DAY(EOMONTH(TabelaCalculo[[#This Row],[DATA]],0)),0))</f>
        <v/>
      </c>
      <c r="H217" s="45"/>
      <c r="I217" s="62">
        <v>1310.04</v>
      </c>
      <c r="J217" s="62">
        <v>116.648533</v>
      </c>
      <c r="K217" s="62">
        <v>1310.04</v>
      </c>
      <c r="L217" s="80"/>
      <c r="M217" s="91"/>
      <c r="N217" s="46"/>
    </row>
    <row r="218" spans="1:14" x14ac:dyDescent="0.25">
      <c r="A218" s="59">
        <v>29921</v>
      </c>
      <c r="B218" s="62"/>
      <c r="C218" s="46"/>
      <c r="D218" s="45"/>
      <c r="F218" s="45"/>
      <c r="G218" s="69" t="str">
        <f ca="1">IF(L217="","",G217+MAX(0,(1+L217)/ROUND(OFFSET(A218,0,FORMULÁRIO!$E$10-1)/OFFSET(A217,0,FORMULÁRIO!$E$10-1),4)-1)+IF(DATE(YEAR(FORMULÁRIO!Q$22),MONTH(FORMULÁRIO!Q$22),1)=TabelaCalculo[[#This Row],[DATA]],M217*(1-DAY(FORMULÁRIO!Q$22))/DAY(EOMONTH(TabelaCalculo[[#This Row],[DATA]],0)),0)+IF(DATE(YEAR(FORMULÁRIO!Q$24),MONTH(FORMULÁRIO!Q$24),1)=TabelaCalculo[[#This Row],[DATA]],M217*(-1+DAY(FORMULÁRIO!Q$24))/DAY(EOMONTH(TabelaCalculo[[#This Row],[DATA]],0)),0))</f>
        <v/>
      </c>
      <c r="H218" s="45"/>
      <c r="I218" s="62">
        <v>1382.09</v>
      </c>
      <c r="J218" s="62">
        <v>123.064007</v>
      </c>
      <c r="K218" s="62">
        <v>1382.09</v>
      </c>
      <c r="L218" s="80"/>
      <c r="M218" s="91"/>
      <c r="N218" s="46"/>
    </row>
    <row r="219" spans="1:14" x14ac:dyDescent="0.25">
      <c r="A219" s="59">
        <v>29952</v>
      </c>
      <c r="B219" s="62"/>
      <c r="C219" s="46"/>
      <c r="D219" s="45"/>
      <c r="F219" s="45"/>
      <c r="G219" s="69" t="str">
        <f ca="1">IF(L218="","",G218+MAX(0,(1+L218)/ROUND(OFFSET(A219,0,FORMULÁRIO!$E$10-1)/OFFSET(A218,0,FORMULÁRIO!$E$10-1),4)-1)+IF(DATE(YEAR(FORMULÁRIO!Q$22),MONTH(FORMULÁRIO!Q$22),1)=TabelaCalculo[[#This Row],[DATA]],M218*(1-DAY(FORMULÁRIO!Q$22))/DAY(EOMONTH(TabelaCalculo[[#This Row],[DATA]],0)),0)+IF(DATE(YEAR(FORMULÁRIO!Q$24),MONTH(FORMULÁRIO!Q$24),1)=TabelaCalculo[[#This Row],[DATA]],M218*(-1+DAY(FORMULÁRIO!Q$24))/DAY(EOMONTH(TabelaCalculo[[#This Row],[DATA]],0)),0))</f>
        <v/>
      </c>
      <c r="H219" s="45"/>
      <c r="I219" s="62">
        <v>1453.96</v>
      </c>
      <c r="J219" s="62">
        <v>129.46345299999999</v>
      </c>
      <c r="K219" s="62">
        <v>1453.96</v>
      </c>
      <c r="L219" s="80"/>
      <c r="M219" s="91"/>
      <c r="N219" s="46"/>
    </row>
    <row r="220" spans="1:14" x14ac:dyDescent="0.25">
      <c r="A220" s="59">
        <v>29983</v>
      </c>
      <c r="B220" s="62"/>
      <c r="C220" s="46"/>
      <c r="D220" s="45"/>
      <c r="F220" s="45"/>
      <c r="G220" s="69" t="str">
        <f ca="1">IF(L219="","",G219+MAX(0,(1+L219)/ROUND(OFFSET(A220,0,FORMULÁRIO!$E$10-1)/OFFSET(A219,0,FORMULÁRIO!$E$10-1),4)-1)+IF(DATE(YEAR(FORMULÁRIO!Q$22),MONTH(FORMULÁRIO!Q$22),1)=TabelaCalculo[[#This Row],[DATA]],M219*(1-DAY(FORMULÁRIO!Q$22))/DAY(EOMONTH(TabelaCalculo[[#This Row],[DATA]],0)),0)+IF(DATE(YEAR(FORMULÁRIO!Q$24),MONTH(FORMULÁRIO!Q$24),1)=TabelaCalculo[[#This Row],[DATA]],M219*(-1+DAY(FORMULÁRIO!Q$24))/DAY(EOMONTH(TabelaCalculo[[#This Row],[DATA]],0)),0))</f>
        <v/>
      </c>
      <c r="H220" s="45"/>
      <c r="I220" s="62">
        <v>1526.66</v>
      </c>
      <c r="J220" s="62">
        <v>135.936804</v>
      </c>
      <c r="K220" s="62">
        <v>1526.66</v>
      </c>
      <c r="L220" s="80"/>
      <c r="M220" s="91"/>
      <c r="N220" s="46"/>
    </row>
    <row r="221" spans="1:14" x14ac:dyDescent="0.25">
      <c r="A221" s="59">
        <v>30011</v>
      </c>
      <c r="B221" s="62"/>
      <c r="C221" s="46"/>
      <c r="D221" s="45"/>
      <c r="F221" s="45"/>
      <c r="G221" s="69" t="str">
        <f ca="1">IF(L220="","",G220+MAX(0,(1+L220)/ROUND(OFFSET(A221,0,FORMULÁRIO!$E$10-1)/OFFSET(A220,0,FORMULÁRIO!$E$10-1),4)-1)+IF(DATE(YEAR(FORMULÁRIO!Q$22),MONTH(FORMULÁRIO!Q$22),1)=TabelaCalculo[[#This Row],[DATA]],M220*(1-DAY(FORMULÁRIO!Q$22))/DAY(EOMONTH(TabelaCalculo[[#This Row],[DATA]],0)),0)+IF(DATE(YEAR(FORMULÁRIO!Q$24),MONTH(FORMULÁRIO!Q$24),1)=TabelaCalculo[[#This Row],[DATA]],M220*(-1+DAY(FORMULÁRIO!Q$24))/DAY(EOMONTH(TabelaCalculo[[#This Row],[DATA]],0)),0))</f>
        <v/>
      </c>
      <c r="H221" s="45"/>
      <c r="I221" s="62">
        <v>1602.99</v>
      </c>
      <c r="J221" s="62">
        <v>142.73337699999999</v>
      </c>
      <c r="K221" s="62">
        <v>1602.99</v>
      </c>
      <c r="L221" s="80"/>
      <c r="M221" s="91"/>
      <c r="N221" s="46"/>
    </row>
    <row r="222" spans="1:14" x14ac:dyDescent="0.25">
      <c r="A222" s="59">
        <v>30042</v>
      </c>
      <c r="B222" s="62"/>
      <c r="C222" s="46"/>
      <c r="D222" s="45"/>
      <c r="F222" s="45"/>
      <c r="G222" s="69" t="str">
        <f ca="1">IF(L221="","",G221+MAX(0,(1+L221)/ROUND(OFFSET(A222,0,FORMULÁRIO!$E$10-1)/OFFSET(A221,0,FORMULÁRIO!$E$10-1),4)-1)+IF(DATE(YEAR(FORMULÁRIO!Q$22),MONTH(FORMULÁRIO!Q$22),1)=TabelaCalculo[[#This Row],[DATA]],M221*(1-DAY(FORMULÁRIO!Q$22))/DAY(EOMONTH(TabelaCalculo[[#This Row],[DATA]],0)),0)+IF(DATE(YEAR(FORMULÁRIO!Q$24),MONTH(FORMULÁRIO!Q$24),1)=TabelaCalculo[[#This Row],[DATA]],M221*(-1+DAY(FORMULÁRIO!Q$24))/DAY(EOMONTH(TabelaCalculo[[#This Row],[DATA]],0)),0))</f>
        <v/>
      </c>
      <c r="H222" s="45"/>
      <c r="I222" s="62">
        <v>1683.14</v>
      </c>
      <c r="J222" s="62">
        <v>149.87009</v>
      </c>
      <c r="K222" s="62">
        <v>1683.14</v>
      </c>
      <c r="L222" s="80"/>
      <c r="M222" s="91"/>
      <c r="N222" s="46"/>
    </row>
    <row r="223" spans="1:14" x14ac:dyDescent="0.25">
      <c r="A223" s="59">
        <v>30072</v>
      </c>
      <c r="B223" s="62"/>
      <c r="C223" s="46"/>
      <c r="D223" s="45"/>
      <c r="F223" s="45"/>
      <c r="G223" s="69" t="str">
        <f ca="1">IF(L222="","",G222+MAX(0,(1+L222)/ROUND(OFFSET(A223,0,FORMULÁRIO!$E$10-1)/OFFSET(A222,0,FORMULÁRIO!$E$10-1),4)-1)+IF(DATE(YEAR(FORMULÁRIO!Q$22),MONTH(FORMULÁRIO!Q$22),1)=TabelaCalculo[[#This Row],[DATA]],M222*(1-DAY(FORMULÁRIO!Q$22))/DAY(EOMONTH(TabelaCalculo[[#This Row],[DATA]],0)),0)+IF(DATE(YEAR(FORMULÁRIO!Q$24),MONTH(FORMULÁRIO!Q$24),1)=TabelaCalculo[[#This Row],[DATA]],M222*(-1+DAY(FORMULÁRIO!Q$24))/DAY(EOMONTH(TabelaCalculo[[#This Row],[DATA]],0)),0))</f>
        <v/>
      </c>
      <c r="H223" s="45"/>
      <c r="I223" s="62">
        <v>1775.71</v>
      </c>
      <c r="J223" s="62">
        <v>158.11270400000001</v>
      </c>
      <c r="K223" s="62">
        <v>1775.71</v>
      </c>
      <c r="L223" s="80"/>
      <c r="M223" s="91"/>
      <c r="N223" s="46"/>
    </row>
    <row r="224" spans="1:14" x14ac:dyDescent="0.25">
      <c r="A224" s="59">
        <v>30103</v>
      </c>
      <c r="B224" s="62"/>
      <c r="C224" s="46"/>
      <c r="D224" s="45"/>
      <c r="F224" s="45"/>
      <c r="G224" s="69" t="str">
        <f ca="1">IF(L223="","",G223+MAX(0,(1+L223)/ROUND(OFFSET(A224,0,FORMULÁRIO!$E$10-1)/OFFSET(A223,0,FORMULÁRIO!$E$10-1),4)-1)+IF(DATE(YEAR(FORMULÁRIO!Q$22),MONTH(FORMULÁRIO!Q$22),1)=TabelaCalculo[[#This Row],[DATA]],M223*(1-DAY(FORMULÁRIO!Q$22))/DAY(EOMONTH(TabelaCalculo[[#This Row],[DATA]],0)),0)+IF(DATE(YEAR(FORMULÁRIO!Q$24),MONTH(FORMULÁRIO!Q$24),1)=TabelaCalculo[[#This Row],[DATA]],M223*(-1+DAY(FORMULÁRIO!Q$24))/DAY(EOMONTH(TabelaCalculo[[#This Row],[DATA]],0)),0))</f>
        <v/>
      </c>
      <c r="H224" s="45"/>
      <c r="I224" s="62">
        <v>1873.37</v>
      </c>
      <c r="J224" s="62">
        <v>166.80854299999999</v>
      </c>
      <c r="K224" s="62">
        <v>1873.37</v>
      </c>
      <c r="L224" s="80"/>
      <c r="M224" s="91"/>
      <c r="N224" s="46"/>
    </row>
    <row r="225" spans="1:14" x14ac:dyDescent="0.25">
      <c r="A225" s="59">
        <v>30133</v>
      </c>
      <c r="B225" s="62"/>
      <c r="C225" s="46"/>
      <c r="D225" s="45"/>
      <c r="F225" s="45"/>
      <c r="G225" s="69" t="str">
        <f ca="1">IF(L224="","",G224+MAX(0,(1+L224)/ROUND(OFFSET(A225,0,FORMULÁRIO!$E$10-1)/OFFSET(A224,0,FORMULÁRIO!$E$10-1),4)-1)+IF(DATE(YEAR(FORMULÁRIO!Q$22),MONTH(FORMULÁRIO!Q$22),1)=TabelaCalculo[[#This Row],[DATA]],M224*(1-DAY(FORMULÁRIO!Q$22))/DAY(EOMONTH(TabelaCalculo[[#This Row],[DATA]],0)),0)+IF(DATE(YEAR(FORMULÁRIO!Q$24),MONTH(FORMULÁRIO!Q$24),1)=TabelaCalculo[[#This Row],[DATA]],M224*(-1+DAY(FORMULÁRIO!Q$24))/DAY(EOMONTH(TabelaCalculo[[#This Row],[DATA]],0)),0))</f>
        <v/>
      </c>
      <c r="H225" s="45"/>
      <c r="I225" s="62">
        <v>1976.41</v>
      </c>
      <c r="J225" s="62">
        <v>175.98342600000001</v>
      </c>
      <c r="K225" s="62">
        <v>1976.41</v>
      </c>
      <c r="L225" s="80"/>
      <c r="M225" s="91"/>
      <c r="N225" s="46"/>
    </row>
    <row r="226" spans="1:14" x14ac:dyDescent="0.25">
      <c r="A226" s="59">
        <v>30164</v>
      </c>
      <c r="B226" s="62"/>
      <c r="C226" s="46"/>
      <c r="D226" s="45"/>
      <c r="F226" s="45"/>
      <c r="G226" s="69" t="str">
        <f ca="1">IF(L225="","",G225+MAX(0,(1+L225)/ROUND(OFFSET(A226,0,FORMULÁRIO!$E$10-1)/OFFSET(A225,0,FORMULÁRIO!$E$10-1),4)-1)+IF(DATE(YEAR(FORMULÁRIO!Q$22),MONTH(FORMULÁRIO!Q$22),1)=TabelaCalculo[[#This Row],[DATA]],M225*(1-DAY(FORMULÁRIO!Q$22))/DAY(EOMONTH(TabelaCalculo[[#This Row],[DATA]],0)),0)+IF(DATE(YEAR(FORMULÁRIO!Q$24),MONTH(FORMULÁRIO!Q$24),1)=TabelaCalculo[[#This Row],[DATA]],M225*(-1+DAY(FORMULÁRIO!Q$24))/DAY(EOMONTH(TabelaCalculo[[#This Row],[DATA]],0)),0))</f>
        <v/>
      </c>
      <c r="H226" s="45"/>
      <c r="I226" s="62">
        <v>2094.9899999999998</v>
      </c>
      <c r="J226" s="62">
        <v>186.542022</v>
      </c>
      <c r="K226" s="62">
        <v>2094.9899999999998</v>
      </c>
      <c r="L226" s="80"/>
      <c r="M226" s="91"/>
      <c r="N226" s="46"/>
    </row>
    <row r="227" spans="1:14" x14ac:dyDescent="0.25">
      <c r="A227" s="59">
        <v>30195</v>
      </c>
      <c r="B227" s="62"/>
      <c r="C227" s="46"/>
      <c r="D227" s="45"/>
      <c r="F227" s="45"/>
      <c r="G227" s="69" t="str">
        <f ca="1">IF(L226="","",G226+MAX(0,(1+L226)/ROUND(OFFSET(A227,0,FORMULÁRIO!$E$10-1)/OFFSET(A226,0,FORMULÁRIO!$E$10-1),4)-1)+IF(DATE(YEAR(FORMULÁRIO!Q$22),MONTH(FORMULÁRIO!Q$22),1)=TabelaCalculo[[#This Row],[DATA]],M226*(1-DAY(FORMULÁRIO!Q$22))/DAY(EOMONTH(TabelaCalculo[[#This Row],[DATA]],0)),0)+IF(DATE(YEAR(FORMULÁRIO!Q$24),MONTH(FORMULÁRIO!Q$24),1)=TabelaCalculo[[#This Row],[DATA]],M226*(-1+DAY(FORMULÁRIO!Q$24))/DAY(EOMONTH(TabelaCalculo[[#This Row],[DATA]],0)),0))</f>
        <v/>
      </c>
      <c r="H227" s="45"/>
      <c r="I227" s="62">
        <v>2241.64</v>
      </c>
      <c r="J227" s="62">
        <v>199.60002600000001</v>
      </c>
      <c r="K227" s="62">
        <v>2241.64</v>
      </c>
      <c r="L227" s="80"/>
      <c r="M227" s="91"/>
      <c r="N227" s="46"/>
    </row>
    <row r="228" spans="1:14" x14ac:dyDescent="0.25">
      <c r="A228" s="59">
        <v>30225</v>
      </c>
      <c r="B228" s="62"/>
      <c r="C228" s="46"/>
      <c r="D228" s="45"/>
      <c r="F228" s="45"/>
      <c r="G228" s="69" t="str">
        <f ca="1">IF(L227="","",G227+MAX(0,(1+L227)/ROUND(OFFSET(A228,0,FORMULÁRIO!$E$10-1)/OFFSET(A227,0,FORMULÁRIO!$E$10-1),4)-1)+IF(DATE(YEAR(FORMULÁRIO!Q$22),MONTH(FORMULÁRIO!Q$22),1)=TabelaCalculo[[#This Row],[DATA]],M227*(1-DAY(FORMULÁRIO!Q$22))/DAY(EOMONTH(TabelaCalculo[[#This Row],[DATA]],0)),0)+IF(DATE(YEAR(FORMULÁRIO!Q$24),MONTH(FORMULÁRIO!Q$24),1)=TabelaCalculo[[#This Row],[DATA]],M227*(-1+DAY(FORMULÁRIO!Q$24))/DAY(EOMONTH(TabelaCalculo[[#This Row],[DATA]],0)),0))</f>
        <v/>
      </c>
      <c r="H228" s="45"/>
      <c r="I228" s="62">
        <v>2398.5500000000002</v>
      </c>
      <c r="J228" s="62">
        <v>213.57160099999999</v>
      </c>
      <c r="K228" s="62">
        <v>2398.5500000000002</v>
      </c>
      <c r="L228" s="80"/>
      <c r="M228" s="91"/>
      <c r="N228" s="46"/>
    </row>
    <row r="229" spans="1:14" x14ac:dyDescent="0.25">
      <c r="A229" s="59">
        <v>30256</v>
      </c>
      <c r="B229" s="62"/>
      <c r="C229" s="46"/>
      <c r="D229" s="45"/>
      <c r="F229" s="45"/>
      <c r="G229" s="69" t="str">
        <f ca="1">IF(L228="","",G228+MAX(0,(1+L228)/ROUND(OFFSET(A229,0,FORMULÁRIO!$E$10-1)/OFFSET(A228,0,FORMULÁRIO!$E$10-1),4)-1)+IF(DATE(YEAR(FORMULÁRIO!Q$22),MONTH(FORMULÁRIO!Q$22),1)=TabelaCalculo[[#This Row],[DATA]],M228*(1-DAY(FORMULÁRIO!Q$22))/DAY(EOMONTH(TabelaCalculo[[#This Row],[DATA]],0)),0)+IF(DATE(YEAR(FORMULÁRIO!Q$24),MONTH(FORMULÁRIO!Q$24),1)=TabelaCalculo[[#This Row],[DATA]],M228*(-1+DAY(FORMULÁRIO!Q$24))/DAY(EOMONTH(TabelaCalculo[[#This Row],[DATA]],0)),0))</f>
        <v/>
      </c>
      <c r="H229" s="45"/>
      <c r="I229" s="62">
        <v>2566.4499999999998</v>
      </c>
      <c r="J229" s="62">
        <v>228.52174600000001</v>
      </c>
      <c r="K229" s="62">
        <v>2566.4499999999998</v>
      </c>
      <c r="L229" s="80"/>
      <c r="M229" s="91"/>
      <c r="N229" s="46"/>
    </row>
    <row r="230" spans="1:14" x14ac:dyDescent="0.25">
      <c r="A230" s="59">
        <v>30286</v>
      </c>
      <c r="B230" s="62"/>
      <c r="C230" s="46"/>
      <c r="D230" s="45"/>
      <c r="F230" s="45"/>
      <c r="G230" s="69" t="str">
        <f ca="1">IF(L229="","",G229+MAX(0,(1+L229)/ROUND(OFFSET(A230,0,FORMULÁRIO!$E$10-1)/OFFSET(A229,0,FORMULÁRIO!$E$10-1),4)-1)+IF(DATE(YEAR(FORMULÁRIO!Q$22),MONTH(FORMULÁRIO!Q$22),1)=TabelaCalculo[[#This Row],[DATA]],M229*(1-DAY(FORMULÁRIO!Q$22))/DAY(EOMONTH(TabelaCalculo[[#This Row],[DATA]],0)),0)+IF(DATE(YEAR(FORMULÁRIO!Q$24),MONTH(FORMULÁRIO!Q$24),1)=TabelaCalculo[[#This Row],[DATA]],M229*(-1+DAY(FORMULÁRIO!Q$24))/DAY(EOMONTH(TabelaCalculo[[#This Row],[DATA]],0)),0))</f>
        <v/>
      </c>
      <c r="H230" s="45"/>
      <c r="I230" s="62">
        <v>2733.27</v>
      </c>
      <c r="J230" s="62">
        <v>243.37572700000001</v>
      </c>
      <c r="K230" s="62">
        <v>2733.27</v>
      </c>
      <c r="L230" s="80"/>
      <c r="M230" s="91"/>
      <c r="N230" s="46"/>
    </row>
    <row r="231" spans="1:14" x14ac:dyDescent="0.25">
      <c r="A231" s="59">
        <v>30317</v>
      </c>
      <c r="B231" s="62"/>
      <c r="C231" s="46"/>
      <c r="D231" s="45"/>
      <c r="F231" s="45"/>
      <c r="G231" s="69" t="str">
        <f ca="1">IF(L230="","",G230+MAX(0,(1+L230)/ROUND(OFFSET(A231,0,FORMULÁRIO!$E$10-1)/OFFSET(A230,0,FORMULÁRIO!$E$10-1),4)-1)+IF(DATE(YEAR(FORMULÁRIO!Q$22),MONTH(FORMULÁRIO!Q$22),1)=TabelaCalculo[[#This Row],[DATA]],M230*(1-DAY(FORMULÁRIO!Q$22))/DAY(EOMONTH(TabelaCalculo[[#This Row],[DATA]],0)),0)+IF(DATE(YEAR(FORMULÁRIO!Q$24),MONTH(FORMULÁRIO!Q$24),1)=TabelaCalculo[[#This Row],[DATA]],M230*(-1+DAY(FORMULÁRIO!Q$24))/DAY(EOMONTH(TabelaCalculo[[#This Row],[DATA]],0)),0))</f>
        <v/>
      </c>
      <c r="H231" s="45"/>
      <c r="I231" s="62">
        <v>2910.93</v>
      </c>
      <c r="J231" s="62">
        <v>259.19492200000002</v>
      </c>
      <c r="K231" s="62">
        <v>2910.93</v>
      </c>
      <c r="L231" s="80"/>
      <c r="M231" s="91"/>
      <c r="N231" s="46"/>
    </row>
    <row r="232" spans="1:14" x14ac:dyDescent="0.25">
      <c r="A232" s="59">
        <v>30348</v>
      </c>
      <c r="B232" s="62"/>
      <c r="C232" s="46"/>
      <c r="D232" s="45"/>
      <c r="F232" s="45"/>
      <c r="G232" s="69" t="str">
        <f ca="1">IF(L231="","",G231+MAX(0,(1+L231)/ROUND(OFFSET(A232,0,FORMULÁRIO!$E$10-1)/OFFSET(A231,0,FORMULÁRIO!$E$10-1),4)-1)+IF(DATE(YEAR(FORMULÁRIO!Q$22),MONTH(FORMULÁRIO!Q$22),1)=TabelaCalculo[[#This Row],[DATA]],M231*(1-DAY(FORMULÁRIO!Q$22))/DAY(EOMONTH(TabelaCalculo[[#This Row],[DATA]],0)),0)+IF(DATE(YEAR(FORMULÁRIO!Q$24),MONTH(FORMULÁRIO!Q$24),1)=TabelaCalculo[[#This Row],[DATA]],M231*(-1+DAY(FORMULÁRIO!Q$24))/DAY(EOMONTH(TabelaCalculo[[#This Row],[DATA]],0)),0))</f>
        <v/>
      </c>
      <c r="H232" s="45"/>
      <c r="I232" s="62">
        <v>3085.59</v>
      </c>
      <c r="J232" s="62">
        <v>274.74699099999998</v>
      </c>
      <c r="K232" s="62">
        <v>3085.59</v>
      </c>
      <c r="L232" s="80"/>
      <c r="M232" s="91"/>
      <c r="N232" s="46"/>
    </row>
    <row r="233" spans="1:14" x14ac:dyDescent="0.25">
      <c r="A233" s="59">
        <v>30376</v>
      </c>
      <c r="B233" s="62"/>
      <c r="C233" s="46"/>
      <c r="D233" s="45"/>
      <c r="F233" s="45"/>
      <c r="G233" s="69" t="str">
        <f ca="1">IF(L232="","",G232+MAX(0,(1+L232)/ROUND(OFFSET(A233,0,FORMULÁRIO!$E$10-1)/OFFSET(A232,0,FORMULÁRIO!$E$10-1),4)-1)+IF(DATE(YEAR(FORMULÁRIO!Q$22),MONTH(FORMULÁRIO!Q$22),1)=TabelaCalculo[[#This Row],[DATA]],M232*(1-DAY(FORMULÁRIO!Q$22))/DAY(EOMONTH(TabelaCalculo[[#This Row],[DATA]],0)),0)+IF(DATE(YEAR(FORMULÁRIO!Q$24),MONTH(FORMULÁRIO!Q$24),1)=TabelaCalculo[[#This Row],[DATA]],M232*(-1+DAY(FORMULÁRIO!Q$24))/DAY(EOMONTH(TabelaCalculo[[#This Row],[DATA]],0)),0))</f>
        <v/>
      </c>
      <c r="H233" s="45"/>
      <c r="I233" s="62">
        <v>3292.32</v>
      </c>
      <c r="J233" s="62">
        <v>293.15463599999998</v>
      </c>
      <c r="K233" s="62">
        <v>3292.32</v>
      </c>
      <c r="L233" s="80"/>
      <c r="M233" s="91"/>
      <c r="N233" s="46"/>
    </row>
    <row r="234" spans="1:14" x14ac:dyDescent="0.25">
      <c r="A234" s="59">
        <v>30407</v>
      </c>
      <c r="B234" s="62"/>
      <c r="C234" s="46"/>
      <c r="D234" s="45"/>
      <c r="F234" s="45"/>
      <c r="G234" s="69" t="str">
        <f ca="1">IF(L233="","",G233+MAX(0,(1+L233)/ROUND(OFFSET(A234,0,FORMULÁRIO!$E$10-1)/OFFSET(A233,0,FORMULÁRIO!$E$10-1),4)-1)+IF(DATE(YEAR(FORMULÁRIO!Q$22),MONTH(FORMULÁRIO!Q$22),1)=TabelaCalculo[[#This Row],[DATA]],M233*(1-DAY(FORMULÁRIO!Q$22))/DAY(EOMONTH(TabelaCalculo[[#This Row],[DATA]],0)),0)+IF(DATE(YEAR(FORMULÁRIO!Q$24),MONTH(FORMULÁRIO!Q$24),1)=TabelaCalculo[[#This Row],[DATA]],M233*(-1+DAY(FORMULÁRIO!Q$24))/DAY(EOMONTH(TabelaCalculo[[#This Row],[DATA]],0)),0))</f>
        <v/>
      </c>
      <c r="H234" s="45"/>
      <c r="I234" s="62">
        <v>3588.63</v>
      </c>
      <c r="J234" s="62">
        <v>319.53865999999999</v>
      </c>
      <c r="K234" s="62">
        <v>3588.63</v>
      </c>
      <c r="L234" s="80"/>
      <c r="M234" s="91"/>
      <c r="N234" s="46"/>
    </row>
    <row r="235" spans="1:14" x14ac:dyDescent="0.25">
      <c r="A235" s="59">
        <v>30437</v>
      </c>
      <c r="B235" s="62"/>
      <c r="C235" s="46"/>
      <c r="D235" s="45"/>
      <c r="F235" s="45"/>
      <c r="G235" s="69" t="str">
        <f ca="1">IF(L234="","",G234+MAX(0,(1+L234)/ROUND(OFFSET(A235,0,FORMULÁRIO!$E$10-1)/OFFSET(A234,0,FORMULÁRIO!$E$10-1),4)-1)+IF(DATE(YEAR(FORMULÁRIO!Q$22),MONTH(FORMULÁRIO!Q$22),1)=TabelaCalculo[[#This Row],[DATA]],M234*(1-DAY(FORMULÁRIO!Q$22))/DAY(EOMONTH(TabelaCalculo[[#This Row],[DATA]],0)),0)+IF(DATE(YEAR(FORMULÁRIO!Q$24),MONTH(FORMULÁRIO!Q$24),1)=TabelaCalculo[[#This Row],[DATA]],M234*(-1+DAY(FORMULÁRIO!Q$24))/DAY(EOMONTH(TabelaCalculo[[#This Row],[DATA]],0)),0))</f>
        <v/>
      </c>
      <c r="H235" s="45"/>
      <c r="I235" s="62">
        <v>3911.61</v>
      </c>
      <c r="J235" s="62">
        <v>348.29743400000001</v>
      </c>
      <c r="K235" s="62">
        <v>3911.61</v>
      </c>
      <c r="L235" s="80"/>
      <c r="M235" s="91"/>
      <c r="N235" s="46"/>
    </row>
    <row r="236" spans="1:14" x14ac:dyDescent="0.25">
      <c r="A236" s="59">
        <v>30468</v>
      </c>
      <c r="B236" s="62"/>
      <c r="C236" s="46"/>
      <c r="D236" s="45"/>
      <c r="F236" s="45"/>
      <c r="G236" s="69" t="str">
        <f ca="1">IF(L235="","",G235+MAX(0,(1+L235)/ROUND(OFFSET(A236,0,FORMULÁRIO!$E$10-1)/OFFSET(A235,0,FORMULÁRIO!$E$10-1),4)-1)+IF(DATE(YEAR(FORMULÁRIO!Q$22),MONTH(FORMULÁRIO!Q$22),1)=TabelaCalculo[[#This Row],[DATA]],M235*(1-DAY(FORMULÁRIO!Q$22))/DAY(EOMONTH(TabelaCalculo[[#This Row],[DATA]],0)),0)+IF(DATE(YEAR(FORMULÁRIO!Q$24),MONTH(FORMULÁRIO!Q$24),1)=TabelaCalculo[[#This Row],[DATA]],M235*(-1+DAY(FORMULÁRIO!Q$24))/DAY(EOMONTH(TabelaCalculo[[#This Row],[DATA]],0)),0))</f>
        <v/>
      </c>
      <c r="H236" s="45"/>
      <c r="I236" s="62">
        <v>4224.54</v>
      </c>
      <c r="J236" s="62">
        <v>376.16133500000001</v>
      </c>
      <c r="K236" s="62">
        <v>4224.54</v>
      </c>
      <c r="L236" s="80"/>
      <c r="M236" s="91"/>
      <c r="N236" s="46"/>
    </row>
    <row r="237" spans="1:14" x14ac:dyDescent="0.25">
      <c r="A237" s="59">
        <v>30498</v>
      </c>
      <c r="B237" s="62"/>
      <c r="C237" s="46"/>
      <c r="D237" s="45"/>
      <c r="F237" s="45"/>
      <c r="G237" s="69" t="str">
        <f ca="1">IF(L236="","",G236+MAX(0,(1+L236)/ROUND(OFFSET(A237,0,FORMULÁRIO!$E$10-1)/OFFSET(A236,0,FORMULÁRIO!$E$10-1),4)-1)+IF(DATE(YEAR(FORMULÁRIO!Q$22),MONTH(FORMULÁRIO!Q$22),1)=TabelaCalculo[[#This Row],[DATA]],M236*(1-DAY(FORMULÁRIO!Q$22))/DAY(EOMONTH(TabelaCalculo[[#This Row],[DATA]],0)),0)+IF(DATE(YEAR(FORMULÁRIO!Q$24),MONTH(FORMULÁRIO!Q$24),1)=TabelaCalculo[[#This Row],[DATA]],M236*(-1+DAY(FORMULÁRIO!Q$24))/DAY(EOMONTH(TabelaCalculo[[#This Row],[DATA]],0)),0))</f>
        <v/>
      </c>
      <c r="H237" s="45"/>
      <c r="I237" s="62">
        <v>4554.05</v>
      </c>
      <c r="J237" s="62">
        <v>405.501552</v>
      </c>
      <c r="K237" s="62">
        <v>4554.05</v>
      </c>
      <c r="L237" s="80"/>
      <c r="M237" s="91"/>
      <c r="N237" s="46"/>
    </row>
    <row r="238" spans="1:14" x14ac:dyDescent="0.25">
      <c r="A238" s="59">
        <v>30529</v>
      </c>
      <c r="B238" s="62"/>
      <c r="C238" s="46"/>
      <c r="D238" s="45"/>
      <c r="F238" s="45"/>
      <c r="G238" s="69" t="str">
        <f ca="1">IF(L237="","",G237+MAX(0,(1+L237)/ROUND(OFFSET(A238,0,FORMULÁRIO!$E$10-1)/OFFSET(A237,0,FORMULÁRIO!$E$10-1),4)-1)+IF(DATE(YEAR(FORMULÁRIO!Q$22),MONTH(FORMULÁRIO!Q$22),1)=TabelaCalculo[[#This Row],[DATA]],M237*(1-DAY(FORMULÁRIO!Q$22))/DAY(EOMONTH(TabelaCalculo[[#This Row],[DATA]],0)),0)+IF(DATE(YEAR(FORMULÁRIO!Q$24),MONTH(FORMULÁRIO!Q$24),1)=TabelaCalculo[[#This Row],[DATA]],M237*(-1+DAY(FORMULÁRIO!Q$24))/DAY(EOMONTH(TabelaCalculo[[#This Row],[DATA]],0)),0))</f>
        <v/>
      </c>
      <c r="H238" s="45"/>
      <c r="I238" s="62">
        <v>4963.91</v>
      </c>
      <c r="J238" s="62">
        <v>441.99629099999999</v>
      </c>
      <c r="K238" s="62">
        <v>4963.91</v>
      </c>
      <c r="L238" s="80"/>
      <c r="M238" s="91"/>
      <c r="N238" s="46"/>
    </row>
    <row r="239" spans="1:14" x14ac:dyDescent="0.25">
      <c r="A239" s="59">
        <v>30560</v>
      </c>
      <c r="B239" s="62"/>
      <c r="C239" s="46"/>
      <c r="D239" s="45"/>
      <c r="F239" s="45"/>
      <c r="G239" s="69" t="str">
        <f ca="1">IF(L238="","",G238+MAX(0,(1+L238)/ROUND(OFFSET(A239,0,FORMULÁRIO!$E$10-1)/OFFSET(A238,0,FORMULÁRIO!$E$10-1),4)-1)+IF(DATE(YEAR(FORMULÁRIO!Q$22),MONTH(FORMULÁRIO!Q$22),1)=TabelaCalculo[[#This Row],[DATA]],M238*(1-DAY(FORMULÁRIO!Q$22))/DAY(EOMONTH(TabelaCalculo[[#This Row],[DATA]],0)),0)+IF(DATE(YEAR(FORMULÁRIO!Q$24),MONTH(FORMULÁRIO!Q$24),1)=TabelaCalculo[[#This Row],[DATA]],M238*(-1+DAY(FORMULÁRIO!Q$24))/DAY(EOMONTH(TabelaCalculo[[#This Row],[DATA]],0)),0))</f>
        <v/>
      </c>
      <c r="H239" s="45"/>
      <c r="I239" s="62">
        <v>5385.84</v>
      </c>
      <c r="J239" s="62">
        <v>479.56576699999999</v>
      </c>
      <c r="K239" s="62">
        <v>5385.84</v>
      </c>
      <c r="L239" s="80"/>
      <c r="M239" s="91"/>
      <c r="N239" s="46"/>
    </row>
    <row r="240" spans="1:14" x14ac:dyDescent="0.25">
      <c r="A240" s="59">
        <v>30590</v>
      </c>
      <c r="B240" s="62"/>
      <c r="C240" s="46"/>
      <c r="D240" s="45"/>
      <c r="F240" s="45"/>
      <c r="G240" s="69" t="str">
        <f ca="1">IF(L239="","",G239+MAX(0,(1+L239)/ROUND(OFFSET(A240,0,FORMULÁRIO!$E$10-1)/OFFSET(A239,0,FORMULÁRIO!$E$10-1),4)-1)+IF(DATE(YEAR(FORMULÁRIO!Q$22),MONTH(FORMULÁRIO!Q$22),1)=TabelaCalculo[[#This Row],[DATA]],M239*(1-DAY(FORMULÁRIO!Q$22))/DAY(EOMONTH(TabelaCalculo[[#This Row],[DATA]],0)),0)+IF(DATE(YEAR(FORMULÁRIO!Q$24),MONTH(FORMULÁRIO!Q$24),1)=TabelaCalculo[[#This Row],[DATA]],M239*(-1+DAY(FORMULÁRIO!Q$24))/DAY(EOMONTH(TabelaCalculo[[#This Row],[DATA]],0)),0))</f>
        <v/>
      </c>
      <c r="H240" s="45"/>
      <c r="I240" s="62">
        <v>5897.49</v>
      </c>
      <c r="J240" s="62">
        <v>525.12408700000003</v>
      </c>
      <c r="K240" s="62">
        <v>5897.49</v>
      </c>
      <c r="L240" s="80"/>
      <c r="M240" s="91"/>
      <c r="N240" s="46"/>
    </row>
    <row r="241" spans="1:14" x14ac:dyDescent="0.25">
      <c r="A241" s="59">
        <v>30621</v>
      </c>
      <c r="B241" s="62"/>
      <c r="C241" s="46"/>
      <c r="D241" s="45"/>
      <c r="F241" s="45"/>
      <c r="G241" s="69" t="str">
        <f ca="1">IF(L240="","",G240+MAX(0,(1+L240)/ROUND(OFFSET(A241,0,FORMULÁRIO!$E$10-1)/OFFSET(A240,0,FORMULÁRIO!$E$10-1),4)-1)+IF(DATE(YEAR(FORMULÁRIO!Q$22),MONTH(FORMULÁRIO!Q$22),1)=TabelaCalculo[[#This Row],[DATA]],M240*(1-DAY(FORMULÁRIO!Q$22))/DAY(EOMONTH(TabelaCalculo[[#This Row],[DATA]],0)),0)+IF(DATE(YEAR(FORMULÁRIO!Q$24),MONTH(FORMULÁRIO!Q$24),1)=TabelaCalculo[[#This Row],[DATA]],M240*(-1+DAY(FORMULÁRIO!Q$24))/DAY(EOMONTH(TabelaCalculo[[#This Row],[DATA]],0)),0))</f>
        <v/>
      </c>
      <c r="H241" s="45"/>
      <c r="I241" s="62">
        <v>6469.55</v>
      </c>
      <c r="J241" s="62">
        <v>576.06143299999997</v>
      </c>
      <c r="K241" s="62">
        <v>6469.55</v>
      </c>
      <c r="L241" s="80"/>
      <c r="M241" s="91"/>
      <c r="N241" s="46"/>
    </row>
    <row r="242" spans="1:14" x14ac:dyDescent="0.25">
      <c r="A242" s="59">
        <v>30651</v>
      </c>
      <c r="B242" s="62"/>
      <c r="C242" s="46"/>
      <c r="D242" s="45"/>
      <c r="F242" s="45"/>
      <c r="G242" s="69" t="str">
        <f ca="1">IF(L241="","",G241+MAX(0,(1+L241)/ROUND(OFFSET(A242,0,FORMULÁRIO!$E$10-1)/OFFSET(A241,0,FORMULÁRIO!$E$10-1),4)-1)+IF(DATE(YEAR(FORMULÁRIO!Q$22),MONTH(FORMULÁRIO!Q$22),1)=TabelaCalculo[[#This Row],[DATA]],M241*(1-DAY(FORMULÁRIO!Q$22))/DAY(EOMONTH(TabelaCalculo[[#This Row],[DATA]],0)),0)+IF(DATE(YEAR(FORMULÁRIO!Q$24),MONTH(FORMULÁRIO!Q$24),1)=TabelaCalculo[[#This Row],[DATA]],M241*(-1+DAY(FORMULÁRIO!Q$24))/DAY(EOMONTH(TabelaCalculo[[#This Row],[DATA]],0)),0))</f>
        <v/>
      </c>
      <c r="H242" s="45"/>
      <c r="I242" s="62">
        <v>7012.99</v>
      </c>
      <c r="J242" s="62">
        <v>624.45039699999995</v>
      </c>
      <c r="K242" s="62">
        <v>7012.99</v>
      </c>
      <c r="L242" s="80"/>
      <c r="M242" s="91"/>
      <c r="N242" s="46"/>
    </row>
    <row r="243" spans="1:14" x14ac:dyDescent="0.25">
      <c r="A243" s="59">
        <v>30682</v>
      </c>
      <c r="B243" s="62"/>
      <c r="C243" s="46"/>
      <c r="D243" s="45"/>
      <c r="F243" s="45"/>
      <c r="G243" s="69" t="str">
        <f ca="1">IF(L242="","",G242+MAX(0,(1+L242)/ROUND(OFFSET(A243,0,FORMULÁRIO!$E$10-1)/OFFSET(A242,0,FORMULÁRIO!$E$10-1),4)-1)+IF(DATE(YEAR(FORMULÁRIO!Q$22),MONTH(FORMULÁRIO!Q$22),1)=TabelaCalculo[[#This Row],[DATA]],M242*(1-DAY(FORMULÁRIO!Q$22))/DAY(EOMONTH(TabelaCalculo[[#This Row],[DATA]],0)),0)+IF(DATE(YEAR(FORMULÁRIO!Q$24),MONTH(FORMULÁRIO!Q$24),1)=TabelaCalculo[[#This Row],[DATA]],M242*(-1+DAY(FORMULÁRIO!Q$24))/DAY(EOMONTH(TabelaCalculo[[#This Row],[DATA]],0)),0))</f>
        <v/>
      </c>
      <c r="H243" s="45"/>
      <c r="I243" s="62">
        <v>7545.98</v>
      </c>
      <c r="J243" s="62">
        <v>671.90887299999997</v>
      </c>
      <c r="K243" s="62">
        <v>7545.98</v>
      </c>
      <c r="L243" s="80"/>
      <c r="M243" s="91"/>
      <c r="N243" s="46"/>
    </row>
    <row r="244" spans="1:14" x14ac:dyDescent="0.25">
      <c r="A244" s="59">
        <v>30713</v>
      </c>
      <c r="B244" s="62"/>
      <c r="C244" s="46"/>
      <c r="D244" s="45"/>
      <c r="F244" s="45"/>
      <c r="G244" s="69" t="str">
        <f ca="1">IF(L243="","",G243+MAX(0,(1+L243)/ROUND(OFFSET(A244,0,FORMULÁRIO!$E$10-1)/OFFSET(A243,0,FORMULÁRIO!$E$10-1),4)-1)+IF(DATE(YEAR(FORMULÁRIO!Q$22),MONTH(FORMULÁRIO!Q$22),1)=TabelaCalculo[[#This Row],[DATA]],M243*(1-DAY(FORMULÁRIO!Q$22))/DAY(EOMONTH(TabelaCalculo[[#This Row],[DATA]],0)),0)+IF(DATE(YEAR(FORMULÁRIO!Q$24),MONTH(FORMULÁRIO!Q$24),1)=TabelaCalculo[[#This Row],[DATA]],M243*(-1+DAY(FORMULÁRIO!Q$24))/DAY(EOMONTH(TabelaCalculo[[#This Row],[DATA]],0)),0))</f>
        <v/>
      </c>
      <c r="H244" s="45"/>
      <c r="I244" s="62">
        <v>8285.49</v>
      </c>
      <c r="J244" s="62">
        <v>737.75629600000002</v>
      </c>
      <c r="K244" s="62">
        <v>8285.49</v>
      </c>
      <c r="L244" s="80"/>
      <c r="M244" s="91"/>
      <c r="N244" s="46"/>
    </row>
    <row r="245" spans="1:14" x14ac:dyDescent="0.25">
      <c r="A245" s="59">
        <v>30742</v>
      </c>
      <c r="B245" s="62"/>
      <c r="C245" s="46"/>
      <c r="D245" s="45"/>
      <c r="F245" s="45"/>
      <c r="G245" s="69" t="str">
        <f ca="1">IF(L244="","",G244+MAX(0,(1+L244)/ROUND(OFFSET(A245,0,FORMULÁRIO!$E$10-1)/OFFSET(A244,0,FORMULÁRIO!$E$10-1),4)-1)+IF(DATE(YEAR(FORMULÁRIO!Q$22),MONTH(FORMULÁRIO!Q$22),1)=TabelaCalculo[[#This Row],[DATA]],M244*(1-DAY(FORMULÁRIO!Q$22))/DAY(EOMONTH(TabelaCalculo[[#This Row],[DATA]],0)),0)+IF(DATE(YEAR(FORMULÁRIO!Q$24),MONTH(FORMULÁRIO!Q$24),1)=TabelaCalculo[[#This Row],[DATA]],M244*(-1+DAY(FORMULÁRIO!Q$24))/DAY(EOMONTH(TabelaCalculo[[#This Row],[DATA]],0)),0))</f>
        <v/>
      </c>
      <c r="H245" s="45"/>
      <c r="I245" s="62">
        <v>9304.61</v>
      </c>
      <c r="J245" s="62">
        <v>828.50074099999995</v>
      </c>
      <c r="K245" s="62">
        <v>9304.61</v>
      </c>
      <c r="L245" s="80"/>
      <c r="M245" s="91"/>
      <c r="N245" s="46"/>
    </row>
    <row r="246" spans="1:14" x14ac:dyDescent="0.25">
      <c r="A246" s="59">
        <v>30773</v>
      </c>
      <c r="B246" s="62"/>
      <c r="C246" s="46"/>
      <c r="D246" s="45"/>
      <c r="F246" s="45"/>
      <c r="G246" s="69" t="str">
        <f ca="1">IF(L245="","",G245+MAX(0,(1+L245)/ROUND(OFFSET(A246,0,FORMULÁRIO!$E$10-1)/OFFSET(A245,0,FORMULÁRIO!$E$10-1),4)-1)+IF(DATE(YEAR(FORMULÁRIO!Q$22),MONTH(FORMULÁRIO!Q$22),1)=TabelaCalculo[[#This Row],[DATA]],M245*(1-DAY(FORMULÁRIO!Q$22))/DAY(EOMONTH(TabelaCalculo[[#This Row],[DATA]],0)),0)+IF(DATE(YEAR(FORMULÁRIO!Q$24),MONTH(FORMULÁRIO!Q$24),1)=TabelaCalculo[[#This Row],[DATA]],M245*(-1+DAY(FORMULÁRIO!Q$24))/DAY(EOMONTH(TabelaCalculo[[#This Row],[DATA]],0)),0))</f>
        <v/>
      </c>
      <c r="H246" s="45"/>
      <c r="I246" s="62">
        <v>10235.07</v>
      </c>
      <c r="J246" s="62">
        <v>911.35072600000001</v>
      </c>
      <c r="K246" s="62">
        <v>10235.07</v>
      </c>
      <c r="L246" s="80"/>
      <c r="M246" s="91"/>
      <c r="N246" s="46"/>
    </row>
    <row r="247" spans="1:14" x14ac:dyDescent="0.25">
      <c r="A247" s="59">
        <v>30803</v>
      </c>
      <c r="B247" s="62"/>
      <c r="C247" s="46"/>
      <c r="D247" s="45"/>
      <c r="F247" s="45"/>
      <c r="G247" s="69" t="str">
        <f ca="1">IF(L246="","",G246+MAX(0,(1+L246)/ROUND(OFFSET(A247,0,FORMULÁRIO!$E$10-1)/OFFSET(A246,0,FORMULÁRIO!$E$10-1),4)-1)+IF(DATE(YEAR(FORMULÁRIO!Q$22),MONTH(FORMULÁRIO!Q$22),1)=TabelaCalculo[[#This Row],[DATA]],M246*(1-DAY(FORMULÁRIO!Q$22))/DAY(EOMONTH(TabelaCalculo[[#This Row],[DATA]],0)),0)+IF(DATE(YEAR(FORMULÁRIO!Q$24),MONTH(FORMULÁRIO!Q$24),1)=TabelaCalculo[[#This Row],[DATA]],M246*(-1+DAY(FORMULÁRIO!Q$24))/DAY(EOMONTH(TabelaCalculo[[#This Row],[DATA]],0)),0))</f>
        <v/>
      </c>
      <c r="H247" s="45"/>
      <c r="I247" s="62">
        <v>11145.99</v>
      </c>
      <c r="J247" s="62">
        <v>992.46083099999998</v>
      </c>
      <c r="K247" s="62">
        <v>11145.99</v>
      </c>
      <c r="L247" s="80"/>
      <c r="M247" s="91"/>
      <c r="N247" s="46"/>
    </row>
    <row r="248" spans="1:14" x14ac:dyDescent="0.25">
      <c r="A248" s="59">
        <v>30834</v>
      </c>
      <c r="B248" s="62"/>
      <c r="C248" s="46"/>
      <c r="D248" s="45"/>
      <c r="F248" s="45"/>
      <c r="G248" s="69" t="str">
        <f ca="1">IF(L247="","",G247+MAX(0,(1+L247)/ROUND(OFFSET(A248,0,FORMULÁRIO!$E$10-1)/OFFSET(A247,0,FORMULÁRIO!$E$10-1),4)-1)+IF(DATE(YEAR(FORMULÁRIO!Q$22),MONTH(FORMULÁRIO!Q$22),1)=TabelaCalculo[[#This Row],[DATA]],M247*(1-DAY(FORMULÁRIO!Q$22))/DAY(EOMONTH(TabelaCalculo[[#This Row],[DATA]],0)),0)+IF(DATE(YEAR(FORMULÁRIO!Q$24),MONTH(FORMULÁRIO!Q$24),1)=TabelaCalculo[[#This Row],[DATA]],M247*(-1+DAY(FORMULÁRIO!Q$24))/DAY(EOMONTH(TabelaCalculo[[#This Row],[DATA]],0)),0))</f>
        <v/>
      </c>
      <c r="H248" s="45"/>
      <c r="I248" s="62">
        <v>12137.98</v>
      </c>
      <c r="J248" s="62">
        <v>1080.7895679999999</v>
      </c>
      <c r="K248" s="62">
        <v>12137.98</v>
      </c>
      <c r="L248" s="80"/>
      <c r="M248" s="91"/>
      <c r="N248" s="46"/>
    </row>
    <row r="249" spans="1:14" x14ac:dyDescent="0.25">
      <c r="A249" s="59">
        <v>30864</v>
      </c>
      <c r="B249" s="62"/>
      <c r="C249" s="46"/>
      <c r="D249" s="45"/>
      <c r="F249" s="45"/>
      <c r="G249" s="69" t="str">
        <f ca="1">IF(L248="","",G248+MAX(0,(1+L248)/ROUND(OFFSET(A249,0,FORMULÁRIO!$E$10-1)/OFFSET(A248,0,FORMULÁRIO!$E$10-1),4)-1)+IF(DATE(YEAR(FORMULÁRIO!Q$22),MONTH(FORMULÁRIO!Q$22),1)=TabelaCalculo[[#This Row],[DATA]],M248*(1-DAY(FORMULÁRIO!Q$22))/DAY(EOMONTH(TabelaCalculo[[#This Row],[DATA]],0)),0)+IF(DATE(YEAR(FORMULÁRIO!Q$24),MONTH(FORMULÁRIO!Q$24),1)=TabelaCalculo[[#This Row],[DATA]],M248*(-1+DAY(FORMULÁRIO!Q$24))/DAY(EOMONTH(TabelaCalculo[[#This Row],[DATA]],0)),0))</f>
        <v/>
      </c>
      <c r="H249" s="45"/>
      <c r="I249" s="62">
        <v>13254.67</v>
      </c>
      <c r="J249" s="62">
        <v>1180.2218379999999</v>
      </c>
      <c r="K249" s="62">
        <v>13254.67</v>
      </c>
      <c r="L249" s="80"/>
      <c r="M249" s="91"/>
      <c r="N249" s="46"/>
    </row>
    <row r="250" spans="1:14" x14ac:dyDescent="0.25">
      <c r="A250" s="59">
        <v>30895</v>
      </c>
      <c r="B250" s="62"/>
      <c r="C250" s="46"/>
      <c r="D250" s="45"/>
      <c r="F250" s="45"/>
      <c r="G250" s="69" t="str">
        <f ca="1">IF(L249="","",G249+MAX(0,(1+L249)/ROUND(OFFSET(A250,0,FORMULÁRIO!$E$10-1)/OFFSET(A249,0,FORMULÁRIO!$E$10-1),4)-1)+IF(DATE(YEAR(FORMULÁRIO!Q$22),MONTH(FORMULÁRIO!Q$22),1)=TabelaCalculo[[#This Row],[DATA]],M249*(1-DAY(FORMULÁRIO!Q$22))/DAY(EOMONTH(TabelaCalculo[[#This Row],[DATA]],0)),0)+IF(DATE(YEAR(FORMULÁRIO!Q$24),MONTH(FORMULÁRIO!Q$24),1)=TabelaCalculo[[#This Row],[DATA]],M249*(-1+DAY(FORMULÁRIO!Q$24))/DAY(EOMONTH(TabelaCalculo[[#This Row],[DATA]],0)),0))</f>
        <v/>
      </c>
      <c r="H250" s="45"/>
      <c r="I250" s="62">
        <v>14619.9</v>
      </c>
      <c r="J250" s="62">
        <v>1301.784598</v>
      </c>
      <c r="K250" s="62">
        <v>14619.9</v>
      </c>
      <c r="L250" s="80"/>
      <c r="M250" s="91"/>
      <c r="N250" s="46"/>
    </row>
    <row r="251" spans="1:14" x14ac:dyDescent="0.25">
      <c r="A251" s="59">
        <v>30926</v>
      </c>
      <c r="B251" s="62"/>
      <c r="C251" s="46"/>
      <c r="D251" s="45"/>
      <c r="F251" s="45"/>
      <c r="G251" s="69" t="str">
        <f ca="1">IF(L250="","",G250+MAX(0,(1+L250)/ROUND(OFFSET(A251,0,FORMULÁRIO!$E$10-1)/OFFSET(A250,0,FORMULÁRIO!$E$10-1),4)-1)+IF(DATE(YEAR(FORMULÁRIO!Q$22),MONTH(FORMULÁRIO!Q$22),1)=TabelaCalculo[[#This Row],[DATA]],M250*(1-DAY(FORMULÁRIO!Q$22))/DAY(EOMONTH(TabelaCalculo[[#This Row],[DATA]],0)),0)+IF(DATE(YEAR(FORMULÁRIO!Q$24),MONTH(FORMULÁRIO!Q$24),1)=TabelaCalculo[[#This Row],[DATA]],M250*(-1+DAY(FORMULÁRIO!Q$24))/DAY(EOMONTH(TabelaCalculo[[#This Row],[DATA]],0)),0))</f>
        <v/>
      </c>
      <c r="H251" s="45"/>
      <c r="I251" s="62">
        <v>16169.61</v>
      </c>
      <c r="J251" s="62">
        <v>1439.7738179999999</v>
      </c>
      <c r="K251" s="62">
        <v>16169.61</v>
      </c>
      <c r="L251" s="80"/>
      <c r="M251" s="91"/>
      <c r="N251" s="46"/>
    </row>
    <row r="252" spans="1:14" x14ac:dyDescent="0.25">
      <c r="A252" s="59">
        <v>30956</v>
      </c>
      <c r="B252" s="62"/>
      <c r="C252" s="46"/>
      <c r="D252" s="45"/>
      <c r="F252" s="45"/>
      <c r="G252" s="69" t="str">
        <f ca="1">IF(L251="","",G251+MAX(0,(1+L251)/ROUND(OFFSET(A252,0,FORMULÁRIO!$E$10-1)/OFFSET(A251,0,FORMULÁRIO!$E$10-1),4)-1)+IF(DATE(YEAR(FORMULÁRIO!Q$22),MONTH(FORMULÁRIO!Q$22),1)=TabelaCalculo[[#This Row],[DATA]],M251*(1-DAY(FORMULÁRIO!Q$22))/DAY(EOMONTH(TabelaCalculo[[#This Row],[DATA]],0)),0)+IF(DATE(YEAR(FORMULÁRIO!Q$24),MONTH(FORMULÁRIO!Q$24),1)=TabelaCalculo[[#This Row],[DATA]],M251*(-1+DAY(FORMULÁRIO!Q$24))/DAY(EOMONTH(TabelaCalculo[[#This Row],[DATA]],0)),0))</f>
        <v/>
      </c>
      <c r="H252" s="45"/>
      <c r="I252" s="62">
        <v>17867.419999999998</v>
      </c>
      <c r="J252" s="62">
        <v>1590.9501540000001</v>
      </c>
      <c r="K252" s="62">
        <v>17867.419999999998</v>
      </c>
      <c r="L252" s="80"/>
      <c r="M252" s="91"/>
      <c r="N252" s="46"/>
    </row>
    <row r="253" spans="1:14" x14ac:dyDescent="0.25">
      <c r="A253" s="59">
        <v>30987</v>
      </c>
      <c r="B253" s="62"/>
      <c r="C253" s="46"/>
      <c r="D253" s="45"/>
      <c r="F253" s="45"/>
      <c r="G253" s="69" t="str">
        <f ca="1">IF(L252="","",G252+MAX(0,(1+L252)/ROUND(OFFSET(A253,0,FORMULÁRIO!$E$10-1)/OFFSET(A252,0,FORMULÁRIO!$E$10-1),4)-1)+IF(DATE(YEAR(FORMULÁRIO!Q$22),MONTH(FORMULÁRIO!Q$22),1)=TabelaCalculo[[#This Row],[DATA]],M252*(1-DAY(FORMULÁRIO!Q$22))/DAY(EOMONTH(TabelaCalculo[[#This Row],[DATA]],0)),0)+IF(DATE(YEAR(FORMULÁRIO!Q$24),MONTH(FORMULÁRIO!Q$24),1)=TabelaCalculo[[#This Row],[DATA]],M252*(-1+DAY(FORMULÁRIO!Q$24))/DAY(EOMONTH(TabelaCalculo[[#This Row],[DATA]],0)),0))</f>
        <v/>
      </c>
      <c r="H253" s="45"/>
      <c r="I253" s="62">
        <v>20118.71</v>
      </c>
      <c r="J253" s="62">
        <v>1791.409435</v>
      </c>
      <c r="K253" s="62">
        <v>20118.71</v>
      </c>
      <c r="L253" s="80"/>
      <c r="M253" s="91"/>
      <c r="N253" s="46"/>
    </row>
    <row r="254" spans="1:14" x14ac:dyDescent="0.25">
      <c r="A254" s="59">
        <v>31017</v>
      </c>
      <c r="B254" s="62"/>
      <c r="C254" s="46"/>
      <c r="D254" s="45"/>
      <c r="F254" s="45"/>
      <c r="G254" s="69" t="str">
        <f ca="1">IF(L253="","",G253+MAX(0,(1+L253)/ROUND(OFFSET(A254,0,FORMULÁRIO!$E$10-1)/OFFSET(A253,0,FORMULÁRIO!$E$10-1),4)-1)+IF(DATE(YEAR(FORMULÁRIO!Q$22),MONTH(FORMULÁRIO!Q$22),1)=TabelaCalculo[[#This Row],[DATA]],M253*(1-DAY(FORMULÁRIO!Q$22))/DAY(EOMONTH(TabelaCalculo[[#This Row],[DATA]],0)),0)+IF(DATE(YEAR(FORMULÁRIO!Q$24),MONTH(FORMULÁRIO!Q$24),1)=TabelaCalculo[[#This Row],[DATA]],M253*(-1+DAY(FORMULÁRIO!Q$24))/DAY(EOMONTH(TabelaCalculo[[#This Row],[DATA]],0)),0))</f>
        <v/>
      </c>
      <c r="H254" s="45"/>
      <c r="I254" s="62">
        <v>22110.46</v>
      </c>
      <c r="J254" s="62">
        <v>1968.758765</v>
      </c>
      <c r="K254" s="62">
        <v>22110.46</v>
      </c>
      <c r="L254" s="80"/>
      <c r="M254" s="91"/>
      <c r="N254" s="46"/>
    </row>
    <row r="255" spans="1:14" x14ac:dyDescent="0.25">
      <c r="A255" s="59">
        <v>31048</v>
      </c>
      <c r="B255" s="62"/>
      <c r="C255" s="46"/>
      <c r="D255" s="45"/>
      <c r="F255" s="45"/>
      <c r="G255" s="69" t="str">
        <f ca="1">IF(L254="","",G254+MAX(0,(1+L254)/ROUND(OFFSET(A255,0,FORMULÁRIO!$E$10-1)/OFFSET(A254,0,FORMULÁRIO!$E$10-1),4)-1)+IF(DATE(YEAR(FORMULÁRIO!Q$22),MONTH(FORMULÁRIO!Q$22),1)=TabelaCalculo[[#This Row],[DATA]],M254*(1-DAY(FORMULÁRIO!Q$22))/DAY(EOMONTH(TabelaCalculo[[#This Row],[DATA]],0)),0)+IF(DATE(YEAR(FORMULÁRIO!Q$24),MONTH(FORMULÁRIO!Q$24),1)=TabelaCalculo[[#This Row],[DATA]],M254*(-1+DAY(FORMULÁRIO!Q$24))/DAY(EOMONTH(TabelaCalculo[[#This Row],[DATA]],0)),0))</f>
        <v/>
      </c>
      <c r="H255" s="45"/>
      <c r="I255" s="62">
        <v>24432.06</v>
      </c>
      <c r="J255" s="62">
        <v>2175.4785870000001</v>
      </c>
      <c r="K255" s="62">
        <v>24432.06</v>
      </c>
      <c r="L255" s="80"/>
      <c r="M255" s="91"/>
      <c r="N255" s="46"/>
    </row>
    <row r="256" spans="1:14" x14ac:dyDescent="0.25">
      <c r="A256" s="59">
        <v>31079</v>
      </c>
      <c r="B256" s="62"/>
      <c r="C256" s="46"/>
      <c r="D256" s="45"/>
      <c r="F256" s="45"/>
      <c r="G256" s="69" t="str">
        <f ca="1">IF(L255="","",G255+MAX(0,(1+L255)/ROUND(OFFSET(A256,0,FORMULÁRIO!$E$10-1)/OFFSET(A255,0,FORMULÁRIO!$E$10-1),4)-1)+IF(DATE(YEAR(FORMULÁRIO!Q$22),MONTH(FORMULÁRIO!Q$22),1)=TabelaCalculo[[#This Row],[DATA]],M255*(1-DAY(FORMULÁRIO!Q$22))/DAY(EOMONTH(TabelaCalculo[[#This Row],[DATA]],0)),0)+IF(DATE(YEAR(FORMULÁRIO!Q$24),MONTH(FORMULÁRIO!Q$24),1)=TabelaCalculo[[#This Row],[DATA]],M255*(-1+DAY(FORMULÁRIO!Q$24))/DAY(EOMONTH(TabelaCalculo[[#This Row],[DATA]],0)),0))</f>
        <v/>
      </c>
      <c r="H256" s="45"/>
      <c r="I256" s="62">
        <v>27510.5</v>
      </c>
      <c r="J256" s="62">
        <v>2449.5889280000001</v>
      </c>
      <c r="K256" s="62">
        <v>27510.5</v>
      </c>
      <c r="L256" s="80"/>
      <c r="M256" s="91"/>
      <c r="N256" s="46"/>
    </row>
    <row r="257" spans="1:14" x14ac:dyDescent="0.25">
      <c r="A257" s="59">
        <v>31107</v>
      </c>
      <c r="B257" s="62"/>
      <c r="C257" s="46"/>
      <c r="D257" s="45"/>
      <c r="F257" s="45"/>
      <c r="G257" s="69" t="str">
        <f ca="1">IF(L256="","",G256+MAX(0,(1+L256)/ROUND(OFFSET(A257,0,FORMULÁRIO!$E$10-1)/OFFSET(A256,0,FORMULÁRIO!$E$10-1),4)-1)+IF(DATE(YEAR(FORMULÁRIO!Q$22),MONTH(FORMULÁRIO!Q$22),1)=TabelaCalculo[[#This Row],[DATA]],M256*(1-DAY(FORMULÁRIO!Q$22))/DAY(EOMONTH(TabelaCalculo[[#This Row],[DATA]],0)),0)+IF(DATE(YEAR(FORMULÁRIO!Q$24),MONTH(FORMULÁRIO!Q$24),1)=TabelaCalculo[[#This Row],[DATA]],M256*(-1+DAY(FORMULÁRIO!Q$24))/DAY(EOMONTH(TabelaCalculo[[#This Row],[DATA]],0)),0))</f>
        <v/>
      </c>
      <c r="H257" s="45"/>
      <c r="I257" s="62">
        <v>30316.57</v>
      </c>
      <c r="J257" s="62">
        <v>2699.4469100000001</v>
      </c>
      <c r="K257" s="62">
        <v>30316.57</v>
      </c>
      <c r="L257" s="80"/>
      <c r="M257" s="91"/>
      <c r="N257" s="46"/>
    </row>
    <row r="258" spans="1:14" x14ac:dyDescent="0.25">
      <c r="A258" s="59">
        <v>31138</v>
      </c>
      <c r="B258" s="62"/>
      <c r="C258" s="46"/>
      <c r="D258" s="45"/>
      <c r="F258" s="45"/>
      <c r="G258" s="69" t="str">
        <f ca="1">IF(L257="","",G257+MAX(0,(1+L257)/ROUND(OFFSET(A258,0,FORMULÁRIO!$E$10-1)/OFFSET(A257,0,FORMULÁRIO!$E$10-1),4)-1)+IF(DATE(YEAR(FORMULÁRIO!Q$22),MONTH(FORMULÁRIO!Q$22),1)=TabelaCalculo[[#This Row],[DATA]],M257*(1-DAY(FORMULÁRIO!Q$22))/DAY(EOMONTH(TabelaCalculo[[#This Row],[DATA]],0)),0)+IF(DATE(YEAR(FORMULÁRIO!Q$24),MONTH(FORMULÁRIO!Q$24),1)=TabelaCalculo[[#This Row],[DATA]],M257*(-1+DAY(FORMULÁRIO!Q$24))/DAY(EOMONTH(TabelaCalculo[[#This Row],[DATA]],0)),0))</f>
        <v/>
      </c>
      <c r="H258" s="45"/>
      <c r="I258" s="62">
        <v>34166.769999999997</v>
      </c>
      <c r="J258" s="62">
        <v>3042.2762760000001</v>
      </c>
      <c r="K258" s="62">
        <v>34166.769999999997</v>
      </c>
      <c r="L258" s="80"/>
      <c r="M258" s="91"/>
      <c r="N258" s="46"/>
    </row>
    <row r="259" spans="1:14" x14ac:dyDescent="0.25">
      <c r="A259" s="59">
        <v>31168</v>
      </c>
      <c r="B259" s="62"/>
      <c r="C259" s="46"/>
      <c r="D259" s="45"/>
      <c r="F259" s="45"/>
      <c r="G259" s="69" t="str">
        <f ca="1">IF(L258="","",G258+MAX(0,(1+L258)/ROUND(OFFSET(A259,0,FORMULÁRIO!$E$10-1)/OFFSET(A258,0,FORMULÁRIO!$E$10-1),4)-1)+IF(DATE(YEAR(FORMULÁRIO!Q$22),MONTH(FORMULÁRIO!Q$22),1)=TabelaCalculo[[#This Row],[DATA]],M258*(1-DAY(FORMULÁRIO!Q$22))/DAY(EOMONTH(TabelaCalculo[[#This Row],[DATA]],0)),0)+IF(DATE(YEAR(FORMULÁRIO!Q$24),MONTH(FORMULÁRIO!Q$24),1)=TabelaCalculo[[#This Row],[DATA]],M258*(-1+DAY(FORMULÁRIO!Q$24))/DAY(EOMONTH(TabelaCalculo[[#This Row],[DATA]],0)),0))</f>
        <v/>
      </c>
      <c r="H259" s="45"/>
      <c r="I259" s="62">
        <v>38208.46</v>
      </c>
      <c r="J259" s="62">
        <v>3402.156289</v>
      </c>
      <c r="K259" s="62">
        <v>38208.46</v>
      </c>
      <c r="L259" s="80"/>
      <c r="M259" s="91"/>
      <c r="N259" s="46"/>
    </row>
    <row r="260" spans="1:14" x14ac:dyDescent="0.25">
      <c r="A260" s="59">
        <v>31199</v>
      </c>
      <c r="B260" s="62"/>
      <c r="C260" s="46"/>
      <c r="D260" s="45"/>
      <c r="F260" s="45"/>
      <c r="G260" s="69" t="str">
        <f ca="1">IF(L259="","",G259+MAX(0,(1+L259)/ROUND(OFFSET(A260,0,FORMULÁRIO!$E$10-1)/OFFSET(A259,0,FORMULÁRIO!$E$10-1),4)-1)+IF(DATE(YEAR(FORMULÁRIO!Q$22),MONTH(FORMULÁRIO!Q$22),1)=TabelaCalculo[[#This Row],[DATA]],M259*(1-DAY(FORMULÁRIO!Q$22))/DAY(EOMONTH(TabelaCalculo[[#This Row],[DATA]],0)),0)+IF(DATE(YEAR(FORMULÁRIO!Q$24),MONTH(FORMULÁRIO!Q$24),1)=TabelaCalculo[[#This Row],[DATA]],M259*(-1+DAY(FORMULÁRIO!Q$24))/DAY(EOMONTH(TabelaCalculo[[#This Row],[DATA]],0)),0))</f>
        <v/>
      </c>
      <c r="H260" s="45"/>
      <c r="I260" s="62">
        <v>42031.56</v>
      </c>
      <c r="J260" s="62">
        <v>3742.5726180000001</v>
      </c>
      <c r="K260" s="62">
        <v>42031.56</v>
      </c>
      <c r="L260" s="80"/>
      <c r="M260" s="91"/>
      <c r="N260" s="46"/>
    </row>
    <row r="261" spans="1:14" x14ac:dyDescent="0.25">
      <c r="A261" s="59">
        <v>31229</v>
      </c>
      <c r="B261" s="62"/>
      <c r="C261" s="46"/>
      <c r="D261" s="45"/>
      <c r="F261" s="45"/>
      <c r="G261" s="69" t="str">
        <f ca="1">IF(L260="","",G260+MAX(0,(1+L260)/ROUND(OFFSET(A261,0,FORMULÁRIO!$E$10-1)/OFFSET(A260,0,FORMULÁRIO!$E$10-1),4)-1)+IF(DATE(YEAR(FORMULÁRIO!Q$22),MONTH(FORMULÁRIO!Q$22),1)=TabelaCalculo[[#This Row],[DATA]],M260*(1-DAY(FORMULÁRIO!Q$22))/DAY(EOMONTH(TabelaCalculo[[#This Row],[DATA]],0)),0)+IF(DATE(YEAR(FORMULÁRIO!Q$24),MONTH(FORMULÁRIO!Q$24),1)=TabelaCalculo[[#This Row],[DATA]],M260*(-1+DAY(FORMULÁRIO!Q$24))/DAY(EOMONTH(TabelaCalculo[[#This Row],[DATA]],0)),0))</f>
        <v/>
      </c>
      <c r="H261" s="45"/>
      <c r="I261" s="62">
        <v>45901.91</v>
      </c>
      <c r="J261" s="62">
        <v>4087.1961799999999</v>
      </c>
      <c r="K261" s="62">
        <v>45901.91</v>
      </c>
      <c r="L261" s="80"/>
      <c r="M261" s="91"/>
      <c r="N261" s="46"/>
    </row>
    <row r="262" spans="1:14" x14ac:dyDescent="0.25">
      <c r="A262" s="59">
        <v>31260</v>
      </c>
      <c r="B262" s="62"/>
      <c r="C262" s="46"/>
      <c r="D262" s="45"/>
      <c r="F262" s="45"/>
      <c r="G262" s="69" t="str">
        <f ca="1">IF(L261="","",G261+MAX(0,(1+L261)/ROUND(OFFSET(A262,0,FORMULÁRIO!$E$10-1)/OFFSET(A261,0,FORMULÁRIO!$E$10-1),4)-1)+IF(DATE(YEAR(FORMULÁRIO!Q$22),MONTH(FORMULÁRIO!Q$22),1)=TabelaCalculo[[#This Row],[DATA]],M261*(1-DAY(FORMULÁRIO!Q$22))/DAY(EOMONTH(TabelaCalculo[[#This Row],[DATA]],0)),0)+IF(DATE(YEAR(FORMULÁRIO!Q$24),MONTH(FORMULÁRIO!Q$24),1)=TabelaCalculo[[#This Row],[DATA]],M261*(-1+DAY(FORMULÁRIO!Q$24))/DAY(EOMONTH(TabelaCalculo[[#This Row],[DATA]],0)),0))</f>
        <v/>
      </c>
      <c r="H262" s="45"/>
      <c r="I262" s="62">
        <v>49396.88</v>
      </c>
      <c r="J262" s="62">
        <v>4398.3951699999998</v>
      </c>
      <c r="K262" s="62">
        <v>49396.88</v>
      </c>
      <c r="L262" s="80"/>
      <c r="M262" s="91"/>
      <c r="N262" s="46"/>
    </row>
    <row r="263" spans="1:14" x14ac:dyDescent="0.25">
      <c r="A263" s="59">
        <v>31291</v>
      </c>
      <c r="B263" s="62"/>
      <c r="C263" s="46"/>
      <c r="D263" s="45"/>
      <c r="F263" s="45"/>
      <c r="G263" s="69" t="str">
        <f ca="1">IF(L262="","",G262+MAX(0,(1+L262)/ROUND(OFFSET(A263,0,FORMULÁRIO!$E$10-1)/OFFSET(A262,0,FORMULÁRIO!$E$10-1),4)-1)+IF(DATE(YEAR(FORMULÁRIO!Q$22),MONTH(FORMULÁRIO!Q$22),1)=TabelaCalculo[[#This Row],[DATA]],M262*(1-DAY(FORMULÁRIO!Q$22))/DAY(EOMONTH(TabelaCalculo[[#This Row],[DATA]],0)),0)+IF(DATE(YEAR(FORMULÁRIO!Q$24),MONTH(FORMULÁRIO!Q$24),1)=TabelaCalculo[[#This Row],[DATA]],M262*(-1+DAY(FORMULÁRIO!Q$24))/DAY(EOMONTH(TabelaCalculo[[#This Row],[DATA]],0)),0))</f>
        <v/>
      </c>
      <c r="H263" s="45"/>
      <c r="I263" s="62">
        <v>53437.4</v>
      </c>
      <c r="J263" s="62">
        <v>4758.1710030000004</v>
      </c>
      <c r="K263" s="62">
        <v>53437.4</v>
      </c>
      <c r="L263" s="80"/>
      <c r="M263" s="91"/>
      <c r="N263" s="46"/>
    </row>
    <row r="264" spans="1:14" x14ac:dyDescent="0.25">
      <c r="A264" s="59">
        <v>31321</v>
      </c>
      <c r="B264" s="62"/>
      <c r="C264" s="46"/>
      <c r="D264" s="45"/>
      <c r="F264" s="45"/>
      <c r="G264" s="69" t="str">
        <f ca="1">IF(L263="","",G263+MAX(0,(1+L263)/ROUND(OFFSET(A264,0,FORMULÁRIO!$E$10-1)/OFFSET(A263,0,FORMULÁRIO!$E$10-1),4)-1)+IF(DATE(YEAR(FORMULÁRIO!Q$22),MONTH(FORMULÁRIO!Q$22),1)=TabelaCalculo[[#This Row],[DATA]],M263*(1-DAY(FORMULÁRIO!Q$22))/DAY(EOMONTH(TabelaCalculo[[#This Row],[DATA]],0)),0)+IF(DATE(YEAR(FORMULÁRIO!Q$24),MONTH(FORMULÁRIO!Q$24),1)=TabelaCalculo[[#This Row],[DATA]],M263*(-1+DAY(FORMULÁRIO!Q$24))/DAY(EOMONTH(TabelaCalculo[[#This Row],[DATA]],0)),0))</f>
        <v/>
      </c>
      <c r="H264" s="45"/>
      <c r="I264" s="62">
        <v>58300.2</v>
      </c>
      <c r="J264" s="62">
        <v>5191.1642620000002</v>
      </c>
      <c r="K264" s="62">
        <v>58300.2</v>
      </c>
      <c r="L264" s="80"/>
      <c r="M264" s="91"/>
      <c r="N264" s="46"/>
    </row>
    <row r="265" spans="1:14" x14ac:dyDescent="0.25">
      <c r="A265" s="59">
        <v>31352</v>
      </c>
      <c r="B265" s="62"/>
      <c r="C265" s="46"/>
      <c r="D265" s="45"/>
      <c r="F265" s="45"/>
      <c r="G265" s="69" t="str">
        <f ca="1">IF(L264="","",G264+MAX(0,(1+L264)/ROUND(OFFSET(A265,0,FORMULÁRIO!$E$10-1)/OFFSET(A264,0,FORMULÁRIO!$E$10-1),4)-1)+IF(DATE(YEAR(FORMULÁRIO!Q$22),MONTH(FORMULÁRIO!Q$22),1)=TabelaCalculo[[#This Row],[DATA]],M264*(1-DAY(FORMULÁRIO!Q$22))/DAY(EOMONTH(TabelaCalculo[[#This Row],[DATA]],0)),0)+IF(DATE(YEAR(FORMULÁRIO!Q$24),MONTH(FORMULÁRIO!Q$24),1)=TabelaCalculo[[#This Row],[DATA]],M264*(-1+DAY(FORMULÁRIO!Q$24))/DAY(EOMONTH(TabelaCalculo[[#This Row],[DATA]],0)),0))</f>
        <v/>
      </c>
      <c r="H265" s="45"/>
      <c r="I265" s="62">
        <v>63547.22</v>
      </c>
      <c r="J265" s="62">
        <v>5658.369224</v>
      </c>
      <c r="K265" s="62">
        <v>63547.22</v>
      </c>
      <c r="L265" s="80"/>
      <c r="M265" s="91"/>
      <c r="N265" s="46"/>
    </row>
    <row r="266" spans="1:14" x14ac:dyDescent="0.25">
      <c r="A266" s="59">
        <v>31382</v>
      </c>
      <c r="B266" s="62"/>
      <c r="C266" s="46"/>
      <c r="D266" s="45"/>
      <c r="F266" s="45"/>
      <c r="G266" s="69" t="str">
        <f ca="1">IF(L265="","",G265+MAX(0,(1+L265)/ROUND(OFFSET(A266,0,FORMULÁRIO!$E$10-1)/OFFSET(A265,0,FORMULÁRIO!$E$10-1),4)-1)+IF(DATE(YEAR(FORMULÁRIO!Q$22),MONTH(FORMULÁRIO!Q$22),1)=TabelaCalculo[[#This Row],[DATA]],M265*(1-DAY(FORMULÁRIO!Q$22))/DAY(EOMONTH(TabelaCalculo[[#This Row],[DATA]],0)),0)+IF(DATE(YEAR(FORMULÁRIO!Q$24),MONTH(FORMULÁRIO!Q$24),1)=TabelaCalculo[[#This Row],[DATA]],M265*(-1+DAY(FORMULÁRIO!Q$24))/DAY(EOMONTH(TabelaCalculo[[#This Row],[DATA]],0)),0))</f>
        <v/>
      </c>
      <c r="H266" s="45"/>
      <c r="I266" s="62">
        <v>70613.67</v>
      </c>
      <c r="J266" s="62">
        <v>6287.579804</v>
      </c>
      <c r="K266" s="62">
        <v>70613.67</v>
      </c>
      <c r="L266" s="80"/>
      <c r="M266" s="91"/>
      <c r="N266" s="46"/>
    </row>
    <row r="267" spans="1:14" x14ac:dyDescent="0.25">
      <c r="A267" s="59">
        <v>31413</v>
      </c>
      <c r="B267" s="62"/>
      <c r="C267" s="45"/>
      <c r="D267" s="45"/>
      <c r="F267" s="45"/>
      <c r="G267" s="69" t="str">
        <f ca="1">IF(L266="","",G266+MAX(0,(1+L266)/ROUND(OFFSET(A267,0,FORMULÁRIO!$E$10-1)/OFFSET(A266,0,FORMULÁRIO!$E$10-1),4)-1)+IF(DATE(YEAR(FORMULÁRIO!Q$22),MONTH(FORMULÁRIO!Q$22),1)=TabelaCalculo[[#This Row],[DATA]],M266*(1-DAY(FORMULÁRIO!Q$22))/DAY(EOMONTH(TabelaCalculo[[#This Row],[DATA]],0)),0)+IF(DATE(YEAR(FORMULÁRIO!Q$24),MONTH(FORMULÁRIO!Q$24),1)=TabelaCalculo[[#This Row],[DATA]],M266*(-1+DAY(FORMULÁRIO!Q$24))/DAY(EOMONTH(TabelaCalculo[[#This Row],[DATA]],0)),0))</f>
        <v/>
      </c>
      <c r="H267" s="45"/>
      <c r="I267" s="62">
        <v>80047.66</v>
      </c>
      <c r="J267" s="62">
        <v>7127.6007950000003</v>
      </c>
      <c r="K267" s="62">
        <v>80047.66</v>
      </c>
      <c r="L267" s="80"/>
      <c r="M267" s="91"/>
      <c r="N267" s="46"/>
    </row>
    <row r="268" spans="1:14" x14ac:dyDescent="0.25">
      <c r="A268" s="59">
        <v>31444</v>
      </c>
      <c r="B268" s="62"/>
      <c r="C268" s="45"/>
      <c r="D268" s="45"/>
      <c r="F268" s="45"/>
      <c r="G268" s="69" t="str">
        <f ca="1">IF(L267="","",G267+MAX(0,(1+L267)/ROUND(OFFSET(A268,0,FORMULÁRIO!$E$10-1)/OFFSET(A267,0,FORMULÁRIO!$E$10-1),4)-1)+IF(DATE(YEAR(FORMULÁRIO!Q$22),MONTH(FORMULÁRIO!Q$22),1)=TabelaCalculo[[#This Row],[DATA]],M267*(1-DAY(FORMULÁRIO!Q$22))/DAY(EOMONTH(TabelaCalculo[[#This Row],[DATA]],0)),0)+IF(DATE(YEAR(FORMULÁRIO!Q$24),MONTH(FORMULÁRIO!Q$24),1)=TabelaCalculo[[#This Row],[DATA]],M267*(-1+DAY(FORMULÁRIO!Q$24))/DAY(EOMONTH(TabelaCalculo[[#This Row],[DATA]],0)),0))</f>
        <v/>
      </c>
      <c r="H268" s="45"/>
      <c r="I268" s="62">
        <v>93039.4</v>
      </c>
      <c r="J268" s="62">
        <v>8284.4108290000004</v>
      </c>
      <c r="K268" s="62">
        <v>93039.4</v>
      </c>
      <c r="L268" s="80"/>
      <c r="M268" s="91"/>
      <c r="N268" s="46"/>
    </row>
    <row r="269" spans="1:14" x14ac:dyDescent="0.25">
      <c r="A269" s="59">
        <v>31472</v>
      </c>
      <c r="B269" s="62"/>
      <c r="C269" s="45"/>
      <c r="D269" s="45"/>
      <c r="F269" s="45"/>
      <c r="G269" s="69" t="str">
        <f ca="1">IF(L268="","",G268+MAX(0,(1+L268)/ROUND(OFFSET(A269,0,FORMULÁRIO!$E$10-1)/OFFSET(A268,0,FORMULÁRIO!$E$10-1),4)-1)+IF(DATE(YEAR(FORMULÁRIO!Q$22),MONTH(FORMULÁRIO!Q$22),1)=TabelaCalculo[[#This Row],[DATA]],M268*(1-DAY(FORMULÁRIO!Q$22))/DAY(EOMONTH(TabelaCalculo[[#This Row],[DATA]],0)),0)+IF(DATE(YEAR(FORMULÁRIO!Q$24),MONTH(FORMULÁRIO!Q$24),1)=TabelaCalculo[[#This Row],[DATA]],M268*(-1+DAY(FORMULÁRIO!Q$24))/DAY(EOMONTH(TabelaCalculo[[#This Row],[DATA]],0)),0))</f>
        <v/>
      </c>
      <c r="H269" s="45"/>
      <c r="I269" s="62">
        <v>106.4</v>
      </c>
      <c r="J269" s="62">
        <v>9.4740649999999995</v>
      </c>
      <c r="K269" s="62">
        <v>106.4</v>
      </c>
      <c r="L269" s="80"/>
      <c r="M269" s="91"/>
      <c r="N269" s="46"/>
    </row>
    <row r="270" spans="1:14" x14ac:dyDescent="0.25">
      <c r="A270" s="59">
        <v>31503</v>
      </c>
      <c r="B270" s="62"/>
      <c r="C270" s="45"/>
      <c r="D270" s="45"/>
      <c r="F270" s="45"/>
      <c r="G270" s="69" t="str">
        <f ca="1">IF(L269="","",G269+MAX(0,(1+L269)/ROUND(OFFSET(A270,0,FORMULÁRIO!$E$10-1)/OFFSET(A269,0,FORMULÁRIO!$E$10-1),4)-1)+IF(DATE(YEAR(FORMULÁRIO!Q$22),MONTH(FORMULÁRIO!Q$22),1)=TabelaCalculo[[#This Row],[DATA]],M269*(1-DAY(FORMULÁRIO!Q$22))/DAY(EOMONTH(TabelaCalculo[[#This Row],[DATA]],0)),0)+IF(DATE(YEAR(FORMULÁRIO!Q$24),MONTH(FORMULÁRIO!Q$24),1)=TabelaCalculo[[#This Row],[DATA]],M269*(-1+DAY(FORMULÁRIO!Q$24))/DAY(EOMONTH(TabelaCalculo[[#This Row],[DATA]],0)),0))</f>
        <v/>
      </c>
      <c r="H270" s="45"/>
      <c r="I270" s="62">
        <v>106.28</v>
      </c>
      <c r="J270" s="62">
        <v>9.4633800000000008</v>
      </c>
      <c r="K270" s="62">
        <v>106.28</v>
      </c>
      <c r="L270" s="80"/>
      <c r="M270" s="91"/>
      <c r="N270" s="46"/>
    </row>
    <row r="271" spans="1:14" x14ac:dyDescent="0.25">
      <c r="A271" s="59">
        <v>31533</v>
      </c>
      <c r="B271" s="62"/>
      <c r="C271" s="45"/>
      <c r="D271" s="45"/>
      <c r="F271" s="45"/>
      <c r="G271" s="69" t="str">
        <f ca="1">IF(L270="","",G270+MAX(0,(1+L270)/ROUND(OFFSET(A271,0,FORMULÁRIO!$E$10-1)/OFFSET(A270,0,FORMULÁRIO!$E$10-1),4)-1)+IF(DATE(YEAR(FORMULÁRIO!Q$22),MONTH(FORMULÁRIO!Q$22),1)=TabelaCalculo[[#This Row],[DATA]],M270*(1-DAY(FORMULÁRIO!Q$22))/DAY(EOMONTH(TabelaCalculo[[#This Row],[DATA]],0)),0)+IF(DATE(YEAR(FORMULÁRIO!Q$24),MONTH(FORMULÁRIO!Q$24),1)=TabelaCalculo[[#This Row],[DATA]],M270*(-1+DAY(FORMULÁRIO!Q$24))/DAY(EOMONTH(TabelaCalculo[[#This Row],[DATA]],0)),0))</f>
        <v/>
      </c>
      <c r="H271" s="45"/>
      <c r="I271" s="62">
        <v>107.12</v>
      </c>
      <c r="J271" s="62">
        <v>9.5381750000000007</v>
      </c>
      <c r="K271" s="62">
        <v>107.12</v>
      </c>
      <c r="L271" s="80"/>
      <c r="M271" s="91"/>
      <c r="N271" s="46"/>
    </row>
    <row r="272" spans="1:14" x14ac:dyDescent="0.25">
      <c r="A272" s="59">
        <v>31564</v>
      </c>
      <c r="B272" s="62"/>
      <c r="C272" s="45"/>
      <c r="D272" s="45"/>
      <c r="F272" s="45"/>
      <c r="G272" s="69" t="str">
        <f ca="1">IF(L271="","",G271+MAX(0,(1+L271)/ROUND(OFFSET(A272,0,FORMULÁRIO!$E$10-1)/OFFSET(A271,0,FORMULÁRIO!$E$10-1),4)-1)+IF(DATE(YEAR(FORMULÁRIO!Q$22),MONTH(FORMULÁRIO!Q$22),1)=TabelaCalculo[[#This Row],[DATA]],M271*(1-DAY(FORMULÁRIO!Q$22))/DAY(EOMONTH(TabelaCalculo[[#This Row],[DATA]],0)),0)+IF(DATE(YEAR(FORMULÁRIO!Q$24),MONTH(FORMULÁRIO!Q$24),1)=TabelaCalculo[[#This Row],[DATA]],M271*(-1+DAY(FORMULÁRIO!Q$24))/DAY(EOMONTH(TabelaCalculo[[#This Row],[DATA]],0)),0))</f>
        <v/>
      </c>
      <c r="H272" s="45"/>
      <c r="I272" s="62">
        <v>108.61</v>
      </c>
      <c r="J272" s="62">
        <v>9.6708479999999994</v>
      </c>
      <c r="K272" s="62">
        <v>108.61</v>
      </c>
      <c r="L272" s="80"/>
      <c r="M272" s="91"/>
      <c r="N272" s="46"/>
    </row>
    <row r="273" spans="1:14" x14ac:dyDescent="0.25">
      <c r="A273" s="59">
        <v>31594</v>
      </c>
      <c r="B273" s="62"/>
      <c r="C273" s="45"/>
      <c r="D273" s="45"/>
      <c r="F273" s="45"/>
      <c r="G273" s="69" t="str">
        <f ca="1">IF(L272="","",G272+MAX(0,(1+L272)/ROUND(OFFSET(A273,0,FORMULÁRIO!$E$10-1)/OFFSET(A272,0,FORMULÁRIO!$E$10-1),4)-1)+IF(DATE(YEAR(FORMULÁRIO!Q$22),MONTH(FORMULÁRIO!Q$22),1)=TabelaCalculo[[#This Row],[DATA]],M272*(1-DAY(FORMULÁRIO!Q$22))/DAY(EOMONTH(TabelaCalculo[[#This Row],[DATA]],0)),0)+IF(DATE(YEAR(FORMULÁRIO!Q$24),MONTH(FORMULÁRIO!Q$24),1)=TabelaCalculo[[#This Row],[DATA]],M272*(-1+DAY(FORMULÁRIO!Q$24))/DAY(EOMONTH(TabelaCalculo[[#This Row],[DATA]],0)),0))</f>
        <v/>
      </c>
      <c r="H273" s="45"/>
      <c r="I273" s="62">
        <v>109.99</v>
      </c>
      <c r="J273" s="62">
        <v>9.7937259999999995</v>
      </c>
      <c r="K273" s="62">
        <v>109.99</v>
      </c>
      <c r="L273" s="80"/>
      <c r="M273" s="91"/>
      <c r="N273" s="46"/>
    </row>
    <row r="274" spans="1:14" x14ac:dyDescent="0.25">
      <c r="A274" s="59">
        <v>31625</v>
      </c>
      <c r="B274" s="62"/>
      <c r="C274" s="45"/>
      <c r="D274" s="45"/>
      <c r="F274" s="45"/>
      <c r="G274" s="69" t="str">
        <f ca="1">IF(L273="","",G273+MAX(0,(1+L273)/ROUND(OFFSET(A274,0,FORMULÁRIO!$E$10-1)/OFFSET(A273,0,FORMULÁRIO!$E$10-1),4)-1)+IF(DATE(YEAR(FORMULÁRIO!Q$22),MONTH(FORMULÁRIO!Q$22),1)=TabelaCalculo[[#This Row],[DATA]],M273*(1-DAY(FORMULÁRIO!Q$22))/DAY(EOMONTH(TabelaCalculo[[#This Row],[DATA]],0)),0)+IF(DATE(YEAR(FORMULÁRIO!Q$24),MONTH(FORMULÁRIO!Q$24),1)=TabelaCalculo[[#This Row],[DATA]],M273*(-1+DAY(FORMULÁRIO!Q$24))/DAY(EOMONTH(TabelaCalculo[[#This Row],[DATA]],0)),0))</f>
        <v/>
      </c>
      <c r="H274" s="45"/>
      <c r="I274" s="62">
        <v>111.31</v>
      </c>
      <c r="J274" s="62">
        <v>9.9112609999999997</v>
      </c>
      <c r="K274" s="62">
        <v>111.31</v>
      </c>
      <c r="L274" s="80"/>
      <c r="M274" s="91"/>
      <c r="N274" s="46"/>
    </row>
    <row r="275" spans="1:14" x14ac:dyDescent="0.25">
      <c r="A275" s="59">
        <v>31656</v>
      </c>
      <c r="B275" s="62"/>
      <c r="C275" s="45"/>
      <c r="D275" s="45"/>
      <c r="F275" s="45"/>
      <c r="G275" s="69" t="str">
        <f ca="1">IF(L274="","",G274+MAX(0,(1+L274)/ROUND(OFFSET(A275,0,FORMULÁRIO!$E$10-1)/OFFSET(A274,0,FORMULÁRIO!$E$10-1),4)-1)+IF(DATE(YEAR(FORMULÁRIO!Q$22),MONTH(FORMULÁRIO!Q$22),1)=TabelaCalculo[[#This Row],[DATA]],M274*(1-DAY(FORMULÁRIO!Q$22))/DAY(EOMONTH(TabelaCalculo[[#This Row],[DATA]],0)),0)+IF(DATE(YEAR(FORMULÁRIO!Q$24),MONTH(FORMULÁRIO!Q$24),1)=TabelaCalculo[[#This Row],[DATA]],M274*(-1+DAY(FORMULÁRIO!Q$24))/DAY(EOMONTH(TabelaCalculo[[#This Row],[DATA]],0)),0))</f>
        <v/>
      </c>
      <c r="H275" s="45"/>
      <c r="I275" s="62">
        <v>113.18</v>
      </c>
      <c r="J275" s="62">
        <v>10.077769</v>
      </c>
      <c r="K275" s="62">
        <v>113.18</v>
      </c>
      <c r="L275" s="80"/>
      <c r="M275" s="91"/>
      <c r="N275" s="46"/>
    </row>
    <row r="276" spans="1:14" x14ac:dyDescent="0.25">
      <c r="A276" s="59">
        <v>31686</v>
      </c>
      <c r="B276" s="62"/>
      <c r="C276" s="45"/>
      <c r="D276" s="45"/>
      <c r="F276" s="45"/>
      <c r="G276" s="69" t="str">
        <f ca="1">IF(L275="","",G275+MAX(0,(1+L275)/ROUND(OFFSET(A276,0,FORMULÁRIO!$E$10-1)/OFFSET(A275,0,FORMULÁRIO!$E$10-1),4)-1)+IF(DATE(YEAR(FORMULÁRIO!Q$22),MONTH(FORMULÁRIO!Q$22),1)=TabelaCalculo[[#This Row],[DATA]],M275*(1-DAY(FORMULÁRIO!Q$22))/DAY(EOMONTH(TabelaCalculo[[#This Row],[DATA]],0)),0)+IF(DATE(YEAR(FORMULÁRIO!Q$24),MONTH(FORMULÁRIO!Q$24),1)=TabelaCalculo[[#This Row],[DATA]],M275*(-1+DAY(FORMULÁRIO!Q$24))/DAY(EOMONTH(TabelaCalculo[[#This Row],[DATA]],0)),0))</f>
        <v/>
      </c>
      <c r="H276" s="45"/>
      <c r="I276" s="62">
        <v>115.13</v>
      </c>
      <c r="J276" s="62">
        <v>10.251401</v>
      </c>
      <c r="K276" s="62">
        <v>115.13</v>
      </c>
      <c r="L276" s="80"/>
      <c r="M276" s="91"/>
      <c r="N276" s="46"/>
    </row>
    <row r="277" spans="1:14" x14ac:dyDescent="0.25">
      <c r="A277" s="59">
        <v>31717</v>
      </c>
      <c r="B277" s="62"/>
      <c r="C277" s="45"/>
      <c r="D277" s="45"/>
      <c r="F277" s="45"/>
      <c r="G277" s="69" t="str">
        <f ca="1">IF(L276="","",G276+MAX(0,(1+L276)/ROUND(OFFSET(A277,0,FORMULÁRIO!$E$10-1)/OFFSET(A276,0,FORMULÁRIO!$E$10-1),4)-1)+IF(DATE(YEAR(FORMULÁRIO!Q$22),MONTH(FORMULÁRIO!Q$22),1)=TabelaCalculo[[#This Row],[DATA]],M276*(1-DAY(FORMULÁRIO!Q$22))/DAY(EOMONTH(TabelaCalculo[[#This Row],[DATA]],0)),0)+IF(DATE(YEAR(FORMULÁRIO!Q$24),MONTH(FORMULÁRIO!Q$24),1)=TabelaCalculo[[#This Row],[DATA]],M276*(-1+DAY(FORMULÁRIO!Q$24))/DAY(EOMONTH(TabelaCalculo[[#This Row],[DATA]],0)),0))</f>
        <v/>
      </c>
      <c r="H277" s="45"/>
      <c r="I277" s="62">
        <v>117.32</v>
      </c>
      <c r="J277" s="62">
        <v>10.446403</v>
      </c>
      <c r="K277" s="62">
        <v>117.32</v>
      </c>
      <c r="L277" s="80"/>
      <c r="M277" s="91"/>
      <c r="N277" s="46"/>
    </row>
    <row r="278" spans="1:14" x14ac:dyDescent="0.25">
      <c r="A278" s="59">
        <v>31747</v>
      </c>
      <c r="B278" s="62"/>
      <c r="C278" s="45"/>
      <c r="D278" s="45"/>
      <c r="F278" s="45"/>
      <c r="G278" s="69" t="str">
        <f ca="1">IF(L277="","",G277+MAX(0,(1+L277)/ROUND(OFFSET(A278,0,FORMULÁRIO!$E$10-1)/OFFSET(A277,0,FORMULÁRIO!$E$10-1),4)-1)+IF(DATE(YEAR(FORMULÁRIO!Q$22),MONTH(FORMULÁRIO!Q$22),1)=TabelaCalculo[[#This Row],[DATA]],M277*(1-DAY(FORMULÁRIO!Q$22))/DAY(EOMONTH(TabelaCalculo[[#This Row],[DATA]],0)),0)+IF(DATE(YEAR(FORMULÁRIO!Q$24),MONTH(FORMULÁRIO!Q$24),1)=TabelaCalculo[[#This Row],[DATA]],M277*(-1+DAY(FORMULÁRIO!Q$24))/DAY(EOMONTH(TabelaCalculo[[#This Row],[DATA]],0)),0))</f>
        <v/>
      </c>
      <c r="H278" s="45"/>
      <c r="I278" s="62">
        <v>121.17</v>
      </c>
      <c r="J278" s="62">
        <v>10.789215</v>
      </c>
      <c r="K278" s="62">
        <v>121.17</v>
      </c>
      <c r="L278" s="80"/>
      <c r="M278" s="91"/>
      <c r="N278" s="46"/>
    </row>
    <row r="279" spans="1:14" x14ac:dyDescent="0.25">
      <c r="A279" s="59">
        <v>31778</v>
      </c>
      <c r="B279" s="62"/>
      <c r="C279" s="45"/>
      <c r="D279" s="45"/>
      <c r="F279" s="45"/>
      <c r="G279" s="69" t="str">
        <f ca="1">IF(L278="","",G278+MAX(0,(1+L278)/ROUND(OFFSET(A279,0,FORMULÁRIO!$E$10-1)/OFFSET(A278,0,FORMULÁRIO!$E$10-1),4)-1)+IF(DATE(YEAR(FORMULÁRIO!Q$22),MONTH(FORMULÁRIO!Q$22),1)=TabelaCalculo[[#This Row],[DATA]],M278*(1-DAY(FORMULÁRIO!Q$22))/DAY(EOMONTH(TabelaCalculo[[#This Row],[DATA]],0)),0)+IF(DATE(YEAR(FORMULÁRIO!Q$24),MONTH(FORMULÁRIO!Q$24),1)=TabelaCalculo[[#This Row],[DATA]],M278*(-1+DAY(FORMULÁRIO!Q$24))/DAY(EOMONTH(TabelaCalculo[[#This Row],[DATA]],0)),0))</f>
        <v/>
      </c>
      <c r="H279" s="45"/>
      <c r="I279" s="62">
        <v>129.97999999999999</v>
      </c>
      <c r="J279" s="62">
        <v>11.573674</v>
      </c>
      <c r="K279" s="62">
        <v>129.97999999999999</v>
      </c>
      <c r="L279" s="80"/>
      <c r="M279" s="91"/>
      <c r="N279" s="46"/>
    </row>
    <row r="280" spans="1:14" x14ac:dyDescent="0.25">
      <c r="A280" s="59">
        <v>31809</v>
      </c>
      <c r="B280" s="62"/>
      <c r="C280" s="45"/>
      <c r="D280" s="45"/>
      <c r="F280" s="45"/>
      <c r="G280" s="69" t="str">
        <f ca="1">IF(L279="","",G279+MAX(0,(1+L279)/ROUND(OFFSET(A280,0,FORMULÁRIO!$E$10-1)/OFFSET(A279,0,FORMULÁRIO!$E$10-1),4)-1)+IF(DATE(YEAR(FORMULÁRIO!Q$22),MONTH(FORMULÁRIO!Q$22),1)=TabelaCalculo[[#This Row],[DATA]],M279*(1-DAY(FORMULÁRIO!Q$22))/DAY(EOMONTH(TabelaCalculo[[#This Row],[DATA]],0)),0)+IF(DATE(YEAR(FORMULÁRIO!Q$24),MONTH(FORMULÁRIO!Q$24),1)=TabelaCalculo[[#This Row],[DATA]],M279*(-1+DAY(FORMULÁRIO!Q$24))/DAY(EOMONTH(TabelaCalculo[[#This Row],[DATA]],0)),0))</f>
        <v/>
      </c>
      <c r="H280" s="45"/>
      <c r="I280" s="62">
        <v>151.85</v>
      </c>
      <c r="J280" s="62">
        <v>13.521022</v>
      </c>
      <c r="K280" s="62">
        <v>151.85</v>
      </c>
      <c r="L280" s="80"/>
      <c r="M280" s="91"/>
      <c r="N280" s="46"/>
    </row>
    <row r="281" spans="1:14" x14ac:dyDescent="0.25">
      <c r="A281" s="59">
        <v>31837</v>
      </c>
      <c r="B281" s="62"/>
      <c r="C281" s="45"/>
      <c r="D281" s="45"/>
      <c r="F281" s="45"/>
      <c r="G281" s="69" t="str">
        <f ca="1">IF(L280="","",G280+MAX(0,(1+L280)/ROUND(OFFSET(A281,0,FORMULÁRIO!$E$10-1)/OFFSET(A280,0,FORMULÁRIO!$E$10-1),4)-1)+IF(DATE(YEAR(FORMULÁRIO!Q$22),MONTH(FORMULÁRIO!Q$22),1)=TabelaCalculo[[#This Row],[DATA]],M280*(1-DAY(FORMULÁRIO!Q$22))/DAY(EOMONTH(TabelaCalculo[[#This Row],[DATA]],0)),0)+IF(DATE(YEAR(FORMULÁRIO!Q$24),MONTH(FORMULÁRIO!Q$24),1)=TabelaCalculo[[#This Row],[DATA]],M280*(-1+DAY(FORMULÁRIO!Q$24))/DAY(EOMONTH(TabelaCalculo[[#This Row],[DATA]],0)),0))</f>
        <v/>
      </c>
      <c r="H281" s="45"/>
      <c r="I281" s="62">
        <v>181.61</v>
      </c>
      <c r="J281" s="62">
        <v>16.170911</v>
      </c>
      <c r="K281" s="62">
        <v>181.61</v>
      </c>
      <c r="L281" s="80"/>
      <c r="M281" s="91"/>
      <c r="N281" s="46"/>
    </row>
    <row r="282" spans="1:14" x14ac:dyDescent="0.25">
      <c r="A282" s="59">
        <v>31868</v>
      </c>
      <c r="B282" s="62"/>
      <c r="C282" s="45"/>
      <c r="D282" s="45"/>
      <c r="F282" s="45"/>
      <c r="G282" s="69" t="str">
        <f ca="1">IF(L281="","",G281+MAX(0,(1+L281)/ROUND(OFFSET(A282,0,FORMULÁRIO!$E$10-1)/OFFSET(A281,0,FORMULÁRIO!$E$10-1),4)-1)+IF(DATE(YEAR(FORMULÁRIO!Q$22),MONTH(FORMULÁRIO!Q$22),1)=TabelaCalculo[[#This Row],[DATA]],M281*(1-DAY(FORMULÁRIO!Q$22))/DAY(EOMONTH(TabelaCalculo[[#This Row],[DATA]],0)),0)+IF(DATE(YEAR(FORMULÁRIO!Q$24),MONTH(FORMULÁRIO!Q$24),1)=TabelaCalculo[[#This Row],[DATA]],M281*(-1+DAY(FORMULÁRIO!Q$24))/DAY(EOMONTH(TabelaCalculo[[#This Row],[DATA]],0)),0))</f>
        <v/>
      </c>
      <c r="H282" s="45"/>
      <c r="I282" s="62">
        <v>207.97</v>
      </c>
      <c r="J282" s="62">
        <v>18.518056999999999</v>
      </c>
      <c r="K282" s="62">
        <v>207.97</v>
      </c>
      <c r="L282" s="80"/>
      <c r="M282" s="91"/>
      <c r="N282" s="46"/>
    </row>
    <row r="283" spans="1:14" x14ac:dyDescent="0.25">
      <c r="A283" s="59">
        <v>31898</v>
      </c>
      <c r="B283" s="62"/>
      <c r="C283" s="45"/>
      <c r="D283" s="45"/>
      <c r="F283" s="45"/>
      <c r="G283" s="69" t="str">
        <f ca="1">IF(L282="","",G282+MAX(0,(1+L282)/ROUND(OFFSET(A283,0,FORMULÁRIO!$E$10-1)/OFFSET(A282,0,FORMULÁRIO!$E$10-1),4)-1)+IF(DATE(YEAR(FORMULÁRIO!Q$22),MONTH(FORMULÁRIO!Q$22),1)=TabelaCalculo[[#This Row],[DATA]],M282*(1-DAY(FORMULÁRIO!Q$22))/DAY(EOMONTH(TabelaCalculo[[#This Row],[DATA]],0)),0)+IF(DATE(YEAR(FORMULÁRIO!Q$24),MONTH(FORMULÁRIO!Q$24),1)=TabelaCalculo[[#This Row],[DATA]],M282*(-1+DAY(FORMULÁRIO!Q$24))/DAY(EOMONTH(TabelaCalculo[[#This Row],[DATA]],0)),0))</f>
        <v/>
      </c>
      <c r="H283" s="45"/>
      <c r="I283" s="62">
        <v>251.56</v>
      </c>
      <c r="J283" s="62">
        <v>22.399395999999999</v>
      </c>
      <c r="K283" s="62">
        <v>251.56</v>
      </c>
      <c r="L283" s="80"/>
      <c r="M283" s="91"/>
      <c r="N283" s="46"/>
    </row>
    <row r="284" spans="1:14" x14ac:dyDescent="0.25">
      <c r="A284" s="59">
        <v>31929</v>
      </c>
      <c r="B284" s="62"/>
      <c r="C284" s="45"/>
      <c r="D284" s="45"/>
      <c r="F284" s="45"/>
      <c r="G284" s="69" t="str">
        <f ca="1">IF(L283="","",G283+MAX(0,(1+L283)/ROUND(OFFSET(A284,0,FORMULÁRIO!$E$10-1)/OFFSET(A283,0,FORMULÁRIO!$E$10-1),4)-1)+IF(DATE(YEAR(FORMULÁRIO!Q$22),MONTH(FORMULÁRIO!Q$22),1)=TabelaCalculo[[#This Row],[DATA]],M283*(1-DAY(FORMULÁRIO!Q$22))/DAY(EOMONTH(TabelaCalculo[[#This Row],[DATA]],0)),0)+IF(DATE(YEAR(FORMULÁRIO!Q$24),MONTH(FORMULÁRIO!Q$24),1)=TabelaCalculo[[#This Row],[DATA]],M283*(-1+DAY(FORMULÁRIO!Q$24))/DAY(EOMONTH(TabelaCalculo[[#This Row],[DATA]],0)),0))</f>
        <v/>
      </c>
      <c r="H284" s="45"/>
      <c r="I284" s="62">
        <v>310.52999999999997</v>
      </c>
      <c r="J284" s="62">
        <v>27.650200999999999</v>
      </c>
      <c r="K284" s="62">
        <v>310.52999999999997</v>
      </c>
      <c r="L284" s="80"/>
      <c r="M284" s="91"/>
      <c r="N284" s="46"/>
    </row>
    <row r="285" spans="1:14" x14ac:dyDescent="0.25">
      <c r="A285" s="59">
        <v>31959</v>
      </c>
      <c r="B285" s="62"/>
      <c r="C285" s="45"/>
      <c r="D285" s="45"/>
      <c r="F285" s="45"/>
      <c r="G285" s="69" t="str">
        <f ca="1">IF(L284="","",G284+MAX(0,(1+L284)/ROUND(OFFSET(A285,0,FORMULÁRIO!$E$10-1)/OFFSET(A284,0,FORMULÁRIO!$E$10-1),4)-1)+IF(DATE(YEAR(FORMULÁRIO!Q$22),MONTH(FORMULÁRIO!Q$22),1)=TabelaCalculo[[#This Row],[DATA]],M284*(1-DAY(FORMULÁRIO!Q$22))/DAY(EOMONTH(TabelaCalculo[[#This Row],[DATA]],0)),0)+IF(DATE(YEAR(FORMULÁRIO!Q$24),MONTH(FORMULÁRIO!Q$24),1)=TabelaCalculo[[#This Row],[DATA]],M284*(-1+DAY(FORMULÁRIO!Q$24))/DAY(EOMONTH(TabelaCalculo[[#This Row],[DATA]],0)),0))</f>
        <v/>
      </c>
      <c r="H285" s="45"/>
      <c r="I285" s="62">
        <v>366.49</v>
      </c>
      <c r="J285" s="62">
        <v>32.632989000000002</v>
      </c>
      <c r="K285" s="62">
        <v>366.49</v>
      </c>
      <c r="L285" s="80"/>
      <c r="M285" s="91"/>
      <c r="N285" s="46"/>
    </row>
    <row r="286" spans="1:14" x14ac:dyDescent="0.25">
      <c r="A286" s="59">
        <v>31990</v>
      </c>
      <c r="B286" s="62"/>
      <c r="C286" s="45"/>
      <c r="D286" s="45"/>
      <c r="F286" s="45"/>
      <c r="G286" s="69" t="str">
        <f ca="1">IF(L285="","",G285+MAX(0,(1+L285)/ROUND(OFFSET(A286,0,FORMULÁRIO!$E$10-1)/OFFSET(A285,0,FORMULÁRIO!$E$10-1),4)-1)+IF(DATE(YEAR(FORMULÁRIO!Q$22),MONTH(FORMULÁRIO!Q$22),1)=TabelaCalculo[[#This Row],[DATA]],M285*(1-DAY(FORMULÁRIO!Q$22))/DAY(EOMONTH(TabelaCalculo[[#This Row],[DATA]],0)),0)+IF(DATE(YEAR(FORMULÁRIO!Q$24),MONTH(FORMULÁRIO!Q$24),1)=TabelaCalculo[[#This Row],[DATA]],M285*(-1+DAY(FORMULÁRIO!Q$24))/DAY(EOMONTH(TabelaCalculo[[#This Row],[DATA]],0)),0))</f>
        <v/>
      </c>
      <c r="H286" s="45"/>
      <c r="I286" s="62">
        <v>377.67</v>
      </c>
      <c r="J286" s="62">
        <v>33.628478000000001</v>
      </c>
      <c r="K286" s="62">
        <v>377.67</v>
      </c>
      <c r="L286" s="80"/>
      <c r="M286" s="91"/>
      <c r="N286" s="46"/>
    </row>
    <row r="287" spans="1:14" x14ac:dyDescent="0.25">
      <c r="A287" s="59">
        <v>32021</v>
      </c>
      <c r="B287" s="62"/>
      <c r="C287" s="45"/>
      <c r="D287" s="45"/>
      <c r="F287" s="45"/>
      <c r="G287" s="69" t="str">
        <f ca="1">IF(L286="","",G286+MAX(0,(1+L286)/ROUND(OFFSET(A287,0,FORMULÁRIO!$E$10-1)/OFFSET(A286,0,FORMULÁRIO!$E$10-1),4)-1)+IF(DATE(YEAR(FORMULÁRIO!Q$22),MONTH(FORMULÁRIO!Q$22),1)=TabelaCalculo[[#This Row],[DATA]],M286*(1-DAY(FORMULÁRIO!Q$22))/DAY(EOMONTH(TabelaCalculo[[#This Row],[DATA]],0)),0)+IF(DATE(YEAR(FORMULÁRIO!Q$24),MONTH(FORMULÁRIO!Q$24),1)=TabelaCalculo[[#This Row],[DATA]],M286*(-1+DAY(FORMULÁRIO!Q$24))/DAY(EOMONTH(TabelaCalculo[[#This Row],[DATA]],0)),0))</f>
        <v/>
      </c>
      <c r="H287" s="45"/>
      <c r="I287" s="62">
        <v>401.69</v>
      </c>
      <c r="J287" s="62">
        <v>35.767265999999999</v>
      </c>
      <c r="K287" s="62">
        <v>401.69</v>
      </c>
      <c r="L287" s="80"/>
      <c r="M287" s="91"/>
      <c r="N287" s="46"/>
    </row>
    <row r="288" spans="1:14" x14ac:dyDescent="0.25">
      <c r="A288" s="59">
        <v>32051</v>
      </c>
      <c r="B288" s="62"/>
      <c r="C288" s="45"/>
      <c r="D288" s="45"/>
      <c r="F288" s="45"/>
      <c r="G288" s="69" t="str">
        <f ca="1">IF(L287="","",G287+MAX(0,(1+L287)/ROUND(OFFSET(A288,0,FORMULÁRIO!$E$10-1)/OFFSET(A287,0,FORMULÁRIO!$E$10-1),4)-1)+IF(DATE(YEAR(FORMULÁRIO!Q$22),MONTH(FORMULÁRIO!Q$22),1)=TabelaCalculo[[#This Row],[DATA]],M287*(1-DAY(FORMULÁRIO!Q$22))/DAY(EOMONTH(TabelaCalculo[[#This Row],[DATA]],0)),0)+IF(DATE(YEAR(FORMULÁRIO!Q$24),MONTH(FORMULÁRIO!Q$24),1)=TabelaCalculo[[#This Row],[DATA]],M287*(-1+DAY(FORMULÁRIO!Q$24))/DAY(EOMONTH(TabelaCalculo[[#This Row],[DATA]],0)),0))</f>
        <v/>
      </c>
      <c r="H288" s="45"/>
      <c r="I288" s="62">
        <v>424.51</v>
      </c>
      <c r="J288" s="62">
        <v>37.799204000000003</v>
      </c>
      <c r="K288" s="62">
        <v>424.51</v>
      </c>
      <c r="L288" s="80"/>
      <c r="M288" s="91"/>
      <c r="N288" s="46"/>
    </row>
    <row r="289" spans="1:14" x14ac:dyDescent="0.25">
      <c r="A289" s="59">
        <v>32082</v>
      </c>
      <c r="B289" s="62"/>
      <c r="C289" s="45"/>
      <c r="D289" s="45"/>
      <c r="F289" s="45"/>
      <c r="G289" s="69" t="str">
        <f ca="1">IF(L288="","",G288+MAX(0,(1+L288)/ROUND(OFFSET(A289,0,FORMULÁRIO!$E$10-1)/OFFSET(A288,0,FORMULÁRIO!$E$10-1),4)-1)+IF(DATE(YEAR(FORMULÁRIO!Q$22),MONTH(FORMULÁRIO!Q$22),1)=TabelaCalculo[[#This Row],[DATA]],M288*(1-DAY(FORMULÁRIO!Q$22))/DAY(EOMONTH(TabelaCalculo[[#This Row],[DATA]],0)),0)+IF(DATE(YEAR(FORMULÁRIO!Q$24),MONTH(FORMULÁRIO!Q$24),1)=TabelaCalculo[[#This Row],[DATA]],M288*(-1+DAY(FORMULÁRIO!Q$24))/DAY(EOMONTH(TabelaCalculo[[#This Row],[DATA]],0)),0))</f>
        <v/>
      </c>
      <c r="H289" s="45"/>
      <c r="I289" s="62">
        <v>463.48</v>
      </c>
      <c r="J289" s="62">
        <v>41.269168999999998</v>
      </c>
      <c r="K289" s="62">
        <v>463.48</v>
      </c>
      <c r="L289" s="80"/>
      <c r="M289" s="91"/>
      <c r="N289" s="46"/>
    </row>
    <row r="290" spans="1:14" x14ac:dyDescent="0.25">
      <c r="A290" s="59">
        <v>32112</v>
      </c>
      <c r="B290" s="62"/>
      <c r="C290" s="45"/>
      <c r="D290" s="45"/>
      <c r="F290" s="45"/>
      <c r="G290" s="69" t="str">
        <f ca="1">IF(L289="","",G289+MAX(0,(1+L289)/ROUND(OFFSET(A290,0,FORMULÁRIO!$E$10-1)/OFFSET(A289,0,FORMULÁRIO!$E$10-1),4)-1)+IF(DATE(YEAR(FORMULÁRIO!Q$22),MONTH(FORMULÁRIO!Q$22),1)=TabelaCalculo[[#This Row],[DATA]],M289*(1-DAY(FORMULÁRIO!Q$22))/DAY(EOMONTH(TabelaCalculo[[#This Row],[DATA]],0)),0)+IF(DATE(YEAR(FORMULÁRIO!Q$24),MONTH(FORMULÁRIO!Q$24),1)=TabelaCalculo[[#This Row],[DATA]],M289*(-1+DAY(FORMULÁRIO!Q$24))/DAY(EOMONTH(TabelaCalculo[[#This Row],[DATA]],0)),0))</f>
        <v/>
      </c>
      <c r="H290" s="45"/>
      <c r="I290" s="62">
        <v>522.99</v>
      </c>
      <c r="J290" s="62">
        <v>46.568055999999999</v>
      </c>
      <c r="K290" s="62">
        <v>522.99</v>
      </c>
      <c r="L290" s="80"/>
      <c r="M290" s="91"/>
      <c r="N290" s="46"/>
    </row>
    <row r="291" spans="1:14" x14ac:dyDescent="0.25">
      <c r="A291" s="59">
        <v>32143</v>
      </c>
      <c r="B291" s="62"/>
      <c r="C291" s="45"/>
      <c r="D291" s="45"/>
      <c r="F291" s="45"/>
      <c r="G291" s="69" t="str">
        <f ca="1">IF(L290="","",G290+MAX(0,(1+L290)/ROUND(OFFSET(A291,0,FORMULÁRIO!$E$10-1)/OFFSET(A290,0,FORMULÁRIO!$E$10-1),4)-1)+IF(DATE(YEAR(FORMULÁRIO!Q$22),MONTH(FORMULÁRIO!Q$22),1)=TabelaCalculo[[#This Row],[DATA]],M290*(1-DAY(FORMULÁRIO!Q$22))/DAY(EOMONTH(TabelaCalculo[[#This Row],[DATA]],0)),0)+IF(DATE(YEAR(FORMULÁRIO!Q$24),MONTH(FORMULÁRIO!Q$24),1)=TabelaCalculo[[#This Row],[DATA]],M290*(-1+DAY(FORMULÁRIO!Q$24))/DAY(EOMONTH(TabelaCalculo[[#This Row],[DATA]],0)),0))</f>
        <v/>
      </c>
      <c r="H291" s="45"/>
      <c r="I291" s="62">
        <v>596.94000000000005</v>
      </c>
      <c r="J291" s="62">
        <v>53.152709999999999</v>
      </c>
      <c r="K291" s="62">
        <v>596.94000000000005</v>
      </c>
      <c r="L291" s="80"/>
      <c r="M291" s="91"/>
      <c r="N291" s="46"/>
    </row>
    <row r="292" spans="1:14" x14ac:dyDescent="0.25">
      <c r="A292" s="59">
        <v>32174</v>
      </c>
      <c r="B292" s="62"/>
      <c r="C292" s="45"/>
      <c r="D292" s="45"/>
      <c r="F292" s="45"/>
      <c r="G292" s="69" t="str">
        <f ca="1">IF(L291="","",G291+MAX(0,(1+L291)/ROUND(OFFSET(A292,0,FORMULÁRIO!$E$10-1)/OFFSET(A291,0,FORMULÁRIO!$E$10-1),4)-1)+IF(DATE(YEAR(FORMULÁRIO!Q$22),MONTH(FORMULÁRIO!Q$22),1)=TabelaCalculo[[#This Row],[DATA]],M291*(1-DAY(FORMULÁRIO!Q$22))/DAY(EOMONTH(TabelaCalculo[[#This Row],[DATA]],0)),0)+IF(DATE(YEAR(FORMULÁRIO!Q$24),MONTH(FORMULÁRIO!Q$24),1)=TabelaCalculo[[#This Row],[DATA]],M291*(-1+DAY(FORMULÁRIO!Q$24))/DAY(EOMONTH(TabelaCalculo[[#This Row],[DATA]],0)),0))</f>
        <v/>
      </c>
      <c r="H292" s="45"/>
      <c r="I292" s="62">
        <v>695.5</v>
      </c>
      <c r="J292" s="62">
        <v>61.928685000000002</v>
      </c>
      <c r="K292" s="62">
        <v>695.5</v>
      </c>
      <c r="L292" s="80"/>
      <c r="M292" s="91"/>
      <c r="N292" s="46"/>
    </row>
    <row r="293" spans="1:14" x14ac:dyDescent="0.25">
      <c r="A293" s="59">
        <v>32203</v>
      </c>
      <c r="B293" s="62"/>
      <c r="C293" s="45"/>
      <c r="D293" s="45"/>
      <c r="F293" s="45"/>
      <c r="G293" s="69" t="str">
        <f ca="1">IF(L292="","",G292+MAX(0,(1+L292)/ROUND(OFFSET(A293,0,FORMULÁRIO!$E$10-1)/OFFSET(A292,0,FORMULÁRIO!$E$10-1),4)-1)+IF(DATE(YEAR(FORMULÁRIO!Q$22),MONTH(FORMULÁRIO!Q$22),1)=TabelaCalculo[[#This Row],[DATA]],M292*(1-DAY(FORMULÁRIO!Q$22))/DAY(EOMONTH(TabelaCalculo[[#This Row],[DATA]],0)),0)+IF(DATE(YEAR(FORMULÁRIO!Q$24),MONTH(FORMULÁRIO!Q$24),1)=TabelaCalculo[[#This Row],[DATA]],M292*(-1+DAY(FORMULÁRIO!Q$24))/DAY(EOMONTH(TabelaCalculo[[#This Row],[DATA]],0)),0))</f>
        <v/>
      </c>
      <c r="H293" s="45"/>
      <c r="I293" s="62">
        <v>820.42</v>
      </c>
      <c r="J293" s="62">
        <v>73.051806999999997</v>
      </c>
      <c r="K293" s="62">
        <v>820.42</v>
      </c>
      <c r="L293" s="80"/>
      <c r="M293" s="91"/>
      <c r="N293" s="46"/>
    </row>
    <row r="294" spans="1:14" x14ac:dyDescent="0.25">
      <c r="A294" s="59">
        <v>32234</v>
      </c>
      <c r="B294" s="62"/>
      <c r="C294" s="45"/>
      <c r="D294" s="45"/>
      <c r="F294" s="45"/>
      <c r="G294" s="69" t="str">
        <f ca="1">IF(L293="","",G293+MAX(0,(1+L293)/ROUND(OFFSET(A294,0,FORMULÁRIO!$E$10-1)/OFFSET(A293,0,FORMULÁRIO!$E$10-1),4)-1)+IF(DATE(YEAR(FORMULÁRIO!Q$22),MONTH(FORMULÁRIO!Q$22),1)=TabelaCalculo[[#This Row],[DATA]],M293*(1-DAY(FORMULÁRIO!Q$22))/DAY(EOMONTH(TabelaCalculo[[#This Row],[DATA]],0)),0)+IF(DATE(YEAR(FORMULÁRIO!Q$24),MONTH(FORMULÁRIO!Q$24),1)=TabelaCalculo[[#This Row],[DATA]],M293*(-1+DAY(FORMULÁRIO!Q$24))/DAY(EOMONTH(TabelaCalculo[[#This Row],[DATA]],0)),0))</f>
        <v/>
      </c>
      <c r="H294" s="45"/>
      <c r="I294" s="62">
        <v>951.77</v>
      </c>
      <c r="J294" s="62">
        <v>84.747468999999995</v>
      </c>
      <c r="K294" s="62">
        <v>951.77</v>
      </c>
      <c r="L294" s="80"/>
      <c r="M294" s="91"/>
      <c r="N294" s="46"/>
    </row>
    <row r="295" spans="1:14" x14ac:dyDescent="0.25">
      <c r="A295" s="59">
        <v>32264</v>
      </c>
      <c r="B295" s="62"/>
      <c r="C295" s="45"/>
      <c r="D295" s="45"/>
      <c r="F295" s="45"/>
      <c r="G295" s="69" t="str">
        <f ca="1">IF(L294="","",G294+MAX(0,(1+L294)/ROUND(OFFSET(A295,0,FORMULÁRIO!$E$10-1)/OFFSET(A294,0,FORMULÁRIO!$E$10-1),4)-1)+IF(DATE(YEAR(FORMULÁRIO!Q$22),MONTH(FORMULÁRIO!Q$22),1)=TabelaCalculo[[#This Row],[DATA]],M294*(1-DAY(FORMULÁRIO!Q$22))/DAY(EOMONTH(TabelaCalculo[[#This Row],[DATA]],0)),0)+IF(DATE(YEAR(FORMULÁRIO!Q$24),MONTH(FORMULÁRIO!Q$24),1)=TabelaCalculo[[#This Row],[DATA]],M294*(-1+DAY(FORMULÁRIO!Q$24))/DAY(EOMONTH(TabelaCalculo[[#This Row],[DATA]],0)),0))</f>
        <v/>
      </c>
      <c r="H295" s="45"/>
      <c r="I295" s="62">
        <v>1135.27</v>
      </c>
      <c r="J295" s="62">
        <v>101.08667</v>
      </c>
      <c r="K295" s="62">
        <v>1135.27</v>
      </c>
      <c r="L295" s="80"/>
      <c r="M295" s="91"/>
      <c r="N295" s="46"/>
    </row>
    <row r="296" spans="1:14" x14ac:dyDescent="0.25">
      <c r="A296" s="59">
        <v>32295</v>
      </c>
      <c r="B296" s="62"/>
      <c r="C296" s="45"/>
      <c r="D296" s="45"/>
      <c r="F296" s="45"/>
      <c r="G296" s="69" t="str">
        <f ca="1">IF(L295="","",G295+MAX(0,(1+L295)/ROUND(OFFSET(A296,0,FORMULÁRIO!$E$10-1)/OFFSET(A295,0,FORMULÁRIO!$E$10-1),4)-1)+IF(DATE(YEAR(FORMULÁRIO!Q$22),MONTH(FORMULÁRIO!Q$22),1)=TabelaCalculo[[#This Row],[DATA]],M295*(1-DAY(FORMULÁRIO!Q$22))/DAY(EOMONTH(TabelaCalculo[[#This Row],[DATA]],0)),0)+IF(DATE(YEAR(FORMULÁRIO!Q$24),MONTH(FORMULÁRIO!Q$24),1)=TabelaCalculo[[#This Row],[DATA]],M295*(-1+DAY(FORMULÁRIO!Q$24))/DAY(EOMONTH(TabelaCalculo[[#This Row],[DATA]],0)),0))</f>
        <v/>
      </c>
      <c r="H296" s="45"/>
      <c r="I296" s="62">
        <v>1337.12</v>
      </c>
      <c r="J296" s="62">
        <v>119.05979000000001</v>
      </c>
      <c r="K296" s="62">
        <v>1337.12</v>
      </c>
      <c r="L296" s="80"/>
      <c r="M296" s="91"/>
      <c r="N296" s="46"/>
    </row>
    <row r="297" spans="1:14" x14ac:dyDescent="0.25">
      <c r="A297" s="59">
        <v>32325</v>
      </c>
      <c r="B297" s="62"/>
      <c r="C297" s="45"/>
      <c r="D297" s="45"/>
      <c r="F297" s="45"/>
      <c r="G297" s="69" t="str">
        <f ca="1">IF(L296="","",G296+MAX(0,(1+L296)/ROUND(OFFSET(A297,0,FORMULÁRIO!$E$10-1)/OFFSET(A296,0,FORMULÁRIO!$E$10-1),4)-1)+IF(DATE(YEAR(FORMULÁRIO!Q$22),MONTH(FORMULÁRIO!Q$22),1)=TabelaCalculo[[#This Row],[DATA]],M296*(1-DAY(FORMULÁRIO!Q$22))/DAY(EOMONTH(TabelaCalculo[[#This Row],[DATA]],0)),0)+IF(DATE(YEAR(FORMULÁRIO!Q$24),MONTH(FORMULÁRIO!Q$24),1)=TabelaCalculo[[#This Row],[DATA]],M296*(-1+DAY(FORMULÁRIO!Q$24))/DAY(EOMONTH(TabelaCalculo[[#This Row],[DATA]],0)),0))</f>
        <v/>
      </c>
      <c r="H297" s="45"/>
      <c r="I297" s="62">
        <v>1598.26</v>
      </c>
      <c r="J297" s="62">
        <v>142.312208</v>
      </c>
      <c r="K297" s="62">
        <v>1598.26</v>
      </c>
      <c r="L297" s="80"/>
      <c r="M297" s="91"/>
      <c r="N297" s="46"/>
    </row>
    <row r="298" spans="1:14" x14ac:dyDescent="0.25">
      <c r="A298" s="59">
        <v>32356</v>
      </c>
      <c r="B298" s="62"/>
      <c r="C298" s="45"/>
      <c r="D298" s="45"/>
      <c r="F298" s="45"/>
      <c r="G298" s="69" t="str">
        <f ca="1">IF(L297="","",G297+MAX(0,(1+L297)/ROUND(OFFSET(A298,0,FORMULÁRIO!$E$10-1)/OFFSET(A297,0,FORMULÁRIO!$E$10-1),4)-1)+IF(DATE(YEAR(FORMULÁRIO!Q$22),MONTH(FORMULÁRIO!Q$22),1)=TabelaCalculo[[#This Row],[DATA]],M297*(1-DAY(FORMULÁRIO!Q$22))/DAY(EOMONTH(TabelaCalculo[[#This Row],[DATA]],0)),0)+IF(DATE(YEAR(FORMULÁRIO!Q$24),MONTH(FORMULÁRIO!Q$24),1)=TabelaCalculo[[#This Row],[DATA]],M297*(-1+DAY(FORMULÁRIO!Q$24))/DAY(EOMONTH(TabelaCalculo[[#This Row],[DATA]],0)),0))</f>
        <v/>
      </c>
      <c r="H298" s="45"/>
      <c r="I298" s="62">
        <v>1982.48</v>
      </c>
      <c r="J298" s="62">
        <v>176.523911</v>
      </c>
      <c r="K298" s="62">
        <v>1982.48</v>
      </c>
      <c r="L298" s="80"/>
      <c r="M298" s="91"/>
      <c r="N298" s="46"/>
    </row>
    <row r="299" spans="1:14" x14ac:dyDescent="0.25">
      <c r="A299" s="59">
        <v>32387</v>
      </c>
      <c r="B299" s="62"/>
      <c r="C299" s="45"/>
      <c r="D299" s="45"/>
      <c r="F299" s="45"/>
      <c r="G299" s="69" t="str">
        <f ca="1">IF(L298="","",G298+MAX(0,(1+L298)/ROUND(OFFSET(A299,0,FORMULÁRIO!$E$10-1)/OFFSET(A298,0,FORMULÁRIO!$E$10-1),4)-1)+IF(DATE(YEAR(FORMULÁRIO!Q$22),MONTH(FORMULÁRIO!Q$22),1)=TabelaCalculo[[#This Row],[DATA]],M298*(1-DAY(FORMULÁRIO!Q$22))/DAY(EOMONTH(TabelaCalculo[[#This Row],[DATA]],0)),0)+IF(DATE(YEAR(FORMULÁRIO!Q$24),MONTH(FORMULÁRIO!Q$24),1)=TabelaCalculo[[#This Row],[DATA]],M298*(-1+DAY(FORMULÁRIO!Q$24))/DAY(EOMONTH(TabelaCalculo[[#This Row],[DATA]],0)),0))</f>
        <v/>
      </c>
      <c r="H299" s="45"/>
      <c r="I299" s="62">
        <v>2392.06</v>
      </c>
      <c r="J299" s="62">
        <v>212.993718</v>
      </c>
      <c r="K299" s="62">
        <v>2392.06</v>
      </c>
      <c r="L299" s="80"/>
      <c r="M299" s="91"/>
      <c r="N299" s="46"/>
    </row>
    <row r="300" spans="1:14" x14ac:dyDescent="0.25">
      <c r="A300" s="59">
        <v>32417</v>
      </c>
      <c r="B300" s="62"/>
      <c r="C300" s="45"/>
      <c r="D300" s="45"/>
      <c r="F300" s="45"/>
      <c r="G300" s="69" t="str">
        <f ca="1">IF(L299="","",G299+MAX(0,(1+L299)/ROUND(OFFSET(A300,0,FORMULÁRIO!$E$10-1)/OFFSET(A299,0,FORMULÁRIO!$E$10-1),4)-1)+IF(DATE(YEAR(FORMULÁRIO!Q$22),MONTH(FORMULÁRIO!Q$22),1)=TabelaCalculo[[#This Row],[DATA]],M299*(1-DAY(FORMULÁRIO!Q$22))/DAY(EOMONTH(TabelaCalculo[[#This Row],[DATA]],0)),0)+IF(DATE(YEAR(FORMULÁRIO!Q$24),MONTH(FORMULÁRIO!Q$24),1)=TabelaCalculo[[#This Row],[DATA]],M299*(-1+DAY(FORMULÁRIO!Q$24))/DAY(EOMONTH(TabelaCalculo[[#This Row],[DATA]],0)),0))</f>
        <v/>
      </c>
      <c r="H300" s="45"/>
      <c r="I300" s="62">
        <v>2966.39</v>
      </c>
      <c r="J300" s="62">
        <v>264.13318900000002</v>
      </c>
      <c r="K300" s="62">
        <v>2966.39</v>
      </c>
      <c r="L300" s="80"/>
      <c r="M300" s="91"/>
      <c r="N300" s="46"/>
    </row>
    <row r="301" spans="1:14" x14ac:dyDescent="0.25">
      <c r="A301" s="59">
        <v>32448</v>
      </c>
      <c r="B301" s="62"/>
      <c r="C301" s="45"/>
      <c r="D301" s="45"/>
      <c r="F301" s="45"/>
      <c r="G301" s="69" t="str">
        <f ca="1">IF(L300="","",G300+MAX(0,(1+L300)/ROUND(OFFSET(A301,0,FORMULÁRIO!$E$10-1)/OFFSET(A300,0,FORMULÁRIO!$E$10-1),4)-1)+IF(DATE(YEAR(FORMULÁRIO!Q$22),MONTH(FORMULÁRIO!Q$22),1)=TabelaCalculo[[#This Row],[DATA]],M300*(1-DAY(FORMULÁRIO!Q$22))/DAY(EOMONTH(TabelaCalculo[[#This Row],[DATA]],0)),0)+IF(DATE(YEAR(FORMULÁRIO!Q$24),MONTH(FORMULÁRIO!Q$24),1)=TabelaCalculo[[#This Row],[DATA]],M300*(-1+DAY(FORMULÁRIO!Q$24))/DAY(EOMONTH(TabelaCalculo[[#This Row],[DATA]],0)),0))</f>
        <v/>
      </c>
      <c r="H301" s="45"/>
      <c r="I301" s="62">
        <v>3774.73</v>
      </c>
      <c r="J301" s="62">
        <v>336.10937000000001</v>
      </c>
      <c r="K301" s="62">
        <v>3774.73</v>
      </c>
      <c r="L301" s="80"/>
      <c r="M301" s="91"/>
      <c r="N301" s="46"/>
    </row>
    <row r="302" spans="1:14" x14ac:dyDescent="0.25">
      <c r="A302" s="59">
        <v>32478</v>
      </c>
      <c r="B302" s="62"/>
      <c r="C302" s="45"/>
      <c r="D302" s="45"/>
      <c r="F302" s="45"/>
      <c r="G302" s="69" t="str">
        <f ca="1">IF(L301="","",G301+MAX(0,(1+L301)/ROUND(OFFSET(A302,0,FORMULÁRIO!$E$10-1)/OFFSET(A301,0,FORMULÁRIO!$E$10-1),4)-1)+IF(DATE(YEAR(FORMULÁRIO!Q$22),MONTH(FORMULÁRIO!Q$22),1)=TabelaCalculo[[#This Row],[DATA]],M301*(1-DAY(FORMULÁRIO!Q$22))/DAY(EOMONTH(TabelaCalculo[[#This Row],[DATA]],0)),0)+IF(DATE(YEAR(FORMULÁRIO!Q$24),MONTH(FORMULÁRIO!Q$24),1)=TabelaCalculo[[#This Row],[DATA]],M301*(-1+DAY(FORMULÁRIO!Q$24))/DAY(EOMONTH(TabelaCalculo[[#This Row],[DATA]],0)),0))</f>
        <v/>
      </c>
      <c r="H302" s="45"/>
      <c r="I302" s="62">
        <v>4790.8900000000003</v>
      </c>
      <c r="J302" s="62">
        <v>426.59025100000002</v>
      </c>
      <c r="K302" s="62">
        <v>4790.8900000000003</v>
      </c>
      <c r="L302" s="80"/>
      <c r="M302" s="91"/>
      <c r="N302" s="46"/>
    </row>
    <row r="303" spans="1:14" x14ac:dyDescent="0.25">
      <c r="A303" s="59">
        <v>32509</v>
      </c>
      <c r="B303" s="62"/>
      <c r="C303" s="45"/>
      <c r="D303" s="46">
        <v>6.17</v>
      </c>
      <c r="F303" s="46"/>
      <c r="G303" s="46" t="str">
        <f ca="1">IF(L302="","",G302+MAX(0,(1+L302)/ROUND(OFFSET(A303,0,FORMULÁRIO!$E$10-1)/OFFSET(A302,0,FORMULÁRIO!$E$10-1),4)-1)+IF(DATE(YEAR(FORMULÁRIO!Q$22),MONTH(FORMULÁRIO!Q$22),1)=TabelaCalculo[[#This Row],[DATA]],M302*(1-DAY(FORMULÁRIO!Q$22))/DAY(EOMONTH(TabelaCalculo[[#This Row],[DATA]],0)),0)+IF(DATE(YEAR(FORMULÁRIO!Q$24),MONTH(FORMULÁRIO!Q$24),1)=TabelaCalculo[[#This Row],[DATA]],M302*(-1+DAY(FORMULÁRIO!Q$24))/DAY(EOMONTH(TabelaCalculo[[#This Row],[DATA]],0)),0))</f>
        <v/>
      </c>
      <c r="H303" s="46"/>
      <c r="I303" s="62">
        <v>6.17</v>
      </c>
      <c r="J303" s="62">
        <v>0.54938900000000002</v>
      </c>
      <c r="K303" s="62">
        <v>6.17</v>
      </c>
      <c r="L303" s="80"/>
      <c r="M303" s="91"/>
      <c r="N303" s="46"/>
    </row>
    <row r="304" spans="1:14" x14ac:dyDescent="0.25">
      <c r="A304" s="59">
        <v>32540</v>
      </c>
      <c r="B304" s="62"/>
      <c r="C304" s="45"/>
      <c r="D304" s="46">
        <v>10.5</v>
      </c>
      <c r="F304" s="46"/>
      <c r="G304" s="46" t="str">
        <f ca="1">IF(L303="","",G303+MAX(0,(1+L303)/ROUND(OFFSET(A304,0,FORMULÁRIO!$E$10-1)/OFFSET(A303,0,FORMULÁRIO!$E$10-1),4)-1)+IF(DATE(YEAR(FORMULÁRIO!Q$22),MONTH(FORMULÁRIO!Q$22),1)=TabelaCalculo[[#This Row],[DATA]],M303*(1-DAY(FORMULÁRIO!Q$22))/DAY(EOMONTH(TabelaCalculo[[#This Row],[DATA]],0)),0)+IF(DATE(YEAR(FORMULÁRIO!Q$24),MONTH(FORMULÁRIO!Q$24),1)=TabelaCalculo[[#This Row],[DATA]],M303*(-1+DAY(FORMULÁRIO!Q$24))/DAY(EOMONTH(TabelaCalculo[[#This Row],[DATA]],0)),0))</f>
        <v/>
      </c>
      <c r="H304" s="46"/>
      <c r="I304" s="62">
        <v>8.8058239999999994</v>
      </c>
      <c r="J304" s="62">
        <v>0.78408800000000001</v>
      </c>
      <c r="K304" s="62">
        <v>8.8058239999999994</v>
      </c>
      <c r="L304" s="80"/>
      <c r="M304" s="91"/>
      <c r="N304" s="46"/>
    </row>
    <row r="305" spans="1:14" x14ac:dyDescent="0.25">
      <c r="A305" s="59">
        <v>32568</v>
      </c>
      <c r="B305" s="62"/>
      <c r="C305" s="45"/>
      <c r="D305" s="46">
        <v>10.88</v>
      </c>
      <c r="F305" s="46"/>
      <c r="G305" s="46" t="str">
        <f ca="1">IF(L304="","",G304+MAX(0,(1+L304)/ROUND(OFFSET(A305,0,FORMULÁRIO!$E$10-1)/OFFSET(A304,0,FORMULÁRIO!$E$10-1),4)-1)+IF(DATE(YEAR(FORMULÁRIO!Q$22),MONTH(FORMULÁRIO!Q$22),1)=TabelaCalculo[[#This Row],[DATA]],M304*(1-DAY(FORMULÁRIO!Q$22))/DAY(EOMONTH(TabelaCalculo[[#This Row],[DATA]],0)),0)+IF(DATE(YEAR(FORMULÁRIO!Q$24),MONTH(FORMULÁRIO!Q$24),1)=TabelaCalculo[[#This Row],[DATA]],M304*(-1+DAY(FORMULÁRIO!Q$24))/DAY(EOMONTH(TabelaCalculo[[#This Row],[DATA]],0)),0))</f>
        <v/>
      </c>
      <c r="H305" s="46"/>
      <c r="I305" s="62">
        <v>9.698734</v>
      </c>
      <c r="J305" s="62">
        <v>0.86359399999999997</v>
      </c>
      <c r="K305" s="62">
        <v>9.698734</v>
      </c>
      <c r="L305" s="80"/>
      <c r="M305" s="91"/>
      <c r="N305" s="46"/>
    </row>
    <row r="306" spans="1:14" x14ac:dyDescent="0.25">
      <c r="A306" s="59">
        <v>32599</v>
      </c>
      <c r="B306" s="62"/>
      <c r="C306" s="45"/>
      <c r="D306" s="46">
        <v>11.54</v>
      </c>
      <c r="F306" s="46"/>
      <c r="G306" s="46" t="str">
        <f ca="1">IF(L305="","",G305+MAX(0,(1+L305)/ROUND(OFFSET(A306,0,FORMULÁRIO!$E$10-1)/OFFSET(A305,0,FORMULÁRIO!$E$10-1),4)-1)+IF(DATE(YEAR(FORMULÁRIO!Q$22),MONTH(FORMULÁRIO!Q$22),1)=TabelaCalculo[[#This Row],[DATA]],M305*(1-DAY(FORMULÁRIO!Q$22))/DAY(EOMONTH(TabelaCalculo[[#This Row],[DATA]],0)),0)+IF(DATE(YEAR(FORMULÁRIO!Q$24),MONTH(FORMULÁRIO!Q$24),1)=TabelaCalculo[[#This Row],[DATA]],M305*(-1+DAY(FORMULÁRIO!Q$24))/DAY(EOMONTH(TabelaCalculo[[#This Row],[DATA]],0)),0))</f>
        <v/>
      </c>
      <c r="H306" s="46"/>
      <c r="I306" s="62">
        <v>10.289386</v>
      </c>
      <c r="J306" s="62">
        <v>0.91618699999999997</v>
      </c>
      <c r="K306" s="62">
        <v>10.289386</v>
      </c>
      <c r="L306" s="80"/>
      <c r="M306" s="91"/>
      <c r="N306" s="46"/>
    </row>
    <row r="307" spans="1:14" x14ac:dyDescent="0.25">
      <c r="A307" s="59">
        <v>32629</v>
      </c>
      <c r="B307" s="62"/>
      <c r="C307" s="45"/>
      <c r="D307" s="46">
        <v>12.38</v>
      </c>
      <c r="F307" s="46"/>
      <c r="G307" s="46" t="str">
        <f ca="1">IF(L306="","",G306+MAX(0,(1+L306)/ROUND(OFFSET(A307,0,FORMULÁRIO!$E$10-1)/OFFSET(A306,0,FORMULÁRIO!$E$10-1),4)-1)+IF(DATE(YEAR(FORMULÁRIO!Q$22),MONTH(FORMULÁRIO!Q$22),1)=TabelaCalculo[[#This Row],[DATA]],M306*(1-DAY(FORMULÁRIO!Q$22))/DAY(EOMONTH(TabelaCalculo[[#This Row],[DATA]],0)),0)+IF(DATE(YEAR(FORMULÁRIO!Q$24),MONTH(FORMULÁRIO!Q$24),1)=TabelaCalculo[[#This Row],[DATA]],M306*(-1+DAY(FORMULÁRIO!Q$24))/DAY(EOMONTH(TabelaCalculo[[#This Row],[DATA]],0)),0))</f>
        <v/>
      </c>
      <c r="H307" s="46"/>
      <c r="I307" s="62">
        <v>11.041539999999999</v>
      </c>
      <c r="J307" s="62">
        <v>0.98316000000000003</v>
      </c>
      <c r="K307" s="62">
        <v>11.041539999999999</v>
      </c>
      <c r="L307" s="80"/>
      <c r="M307" s="91"/>
      <c r="N307" s="46"/>
    </row>
    <row r="308" spans="1:14" x14ac:dyDescent="0.25">
      <c r="A308" s="59">
        <v>32660</v>
      </c>
      <c r="B308" s="62"/>
      <c r="C308" s="45"/>
      <c r="D308" s="46">
        <v>13.61</v>
      </c>
      <c r="F308" s="46"/>
      <c r="G308" s="46" t="str">
        <f ca="1">IF(L307="","",G307+MAX(0,(1+L307)/ROUND(OFFSET(A308,0,FORMULÁRIO!$E$10-1)/OFFSET(A307,0,FORMULÁRIO!$E$10-1),4)-1)+IF(DATE(YEAR(FORMULÁRIO!Q$22),MONTH(FORMULÁRIO!Q$22),1)=TabelaCalculo[[#This Row],[DATA]],M307*(1-DAY(FORMULÁRIO!Q$22))/DAY(EOMONTH(TabelaCalculo[[#This Row],[DATA]],0)),0)+IF(DATE(YEAR(FORMULÁRIO!Q$24),MONTH(FORMULÁRIO!Q$24),1)=TabelaCalculo[[#This Row],[DATA]],M307*(-1+DAY(FORMULÁRIO!Q$24))/DAY(EOMONTH(TabelaCalculo[[#This Row],[DATA]],0)),0))</f>
        <v/>
      </c>
      <c r="H308" s="46"/>
      <c r="I308" s="62">
        <v>12.139068999999999</v>
      </c>
      <c r="J308" s="62">
        <v>1.0808869999999999</v>
      </c>
      <c r="K308" s="62">
        <v>12.139068999999999</v>
      </c>
      <c r="L308" s="80"/>
      <c r="M308" s="91"/>
      <c r="N308" s="46"/>
    </row>
    <row r="309" spans="1:14" x14ac:dyDescent="0.25">
      <c r="A309" s="59">
        <v>32690</v>
      </c>
      <c r="B309" s="62"/>
      <c r="C309" s="45"/>
      <c r="D309" s="46">
        <v>16.98</v>
      </c>
      <c r="F309" s="46"/>
      <c r="G309" s="46" t="str">
        <f ca="1">IF(L308="","",G308+MAX(0,(1+L308)/ROUND(OFFSET(A309,0,FORMULÁRIO!$E$10-1)/OFFSET(A308,0,FORMULÁRIO!$E$10-1),4)-1)+IF(DATE(YEAR(FORMULÁRIO!Q$22),MONTH(FORMULÁRIO!Q$22),1)=TabelaCalculo[[#This Row],[DATA]],M308*(1-DAY(FORMULÁRIO!Q$22))/DAY(EOMONTH(TabelaCalculo[[#This Row],[DATA]],0)),0)+IF(DATE(YEAR(FORMULÁRIO!Q$24),MONTH(FORMULÁRIO!Q$24),1)=TabelaCalculo[[#This Row],[DATA]],M308*(-1+DAY(FORMULÁRIO!Q$24))/DAY(EOMONTH(TabelaCalculo[[#This Row],[DATA]],0)),0))</f>
        <v/>
      </c>
      <c r="H309" s="46"/>
      <c r="I309" s="62">
        <v>15.153199000000001</v>
      </c>
      <c r="J309" s="62">
        <v>1.3492710000000001</v>
      </c>
      <c r="K309" s="62">
        <v>15.153199000000001</v>
      </c>
      <c r="L309" s="80"/>
      <c r="M309" s="91"/>
      <c r="N309" s="46"/>
    </row>
    <row r="310" spans="1:14" x14ac:dyDescent="0.25">
      <c r="A310" s="59">
        <v>32721</v>
      </c>
      <c r="B310" s="62"/>
      <c r="C310" s="45"/>
      <c r="D310" s="46">
        <v>21.86</v>
      </c>
      <c r="F310" s="46"/>
      <c r="G310" s="46" t="str">
        <f ca="1">IF(L309="","",G309+MAX(0,(1+L309)/ROUND(OFFSET(A310,0,FORMULÁRIO!$E$10-1)/OFFSET(A309,0,FORMULÁRIO!$E$10-1),4)-1)+IF(DATE(YEAR(FORMULÁRIO!Q$22),MONTH(FORMULÁRIO!Q$22),1)=TabelaCalculo[[#This Row],[DATA]],M309*(1-DAY(FORMULÁRIO!Q$22))/DAY(EOMONTH(TabelaCalculo[[#This Row],[DATA]],0)),0)+IF(DATE(YEAR(FORMULÁRIO!Q$24),MONTH(FORMULÁRIO!Q$24),1)=TabelaCalculo[[#This Row],[DATA]],M309*(-1+DAY(FORMULÁRIO!Q$24))/DAY(EOMONTH(TabelaCalculo[[#This Row],[DATA]],0)),0))</f>
        <v/>
      </c>
      <c r="H310" s="46"/>
      <c r="I310" s="62">
        <v>19.511258999999999</v>
      </c>
      <c r="J310" s="62">
        <v>1.7373209999999999</v>
      </c>
      <c r="K310" s="62">
        <v>19.511258999999999</v>
      </c>
      <c r="L310" s="80"/>
      <c r="M310" s="91"/>
      <c r="N310" s="46"/>
    </row>
    <row r="311" spans="1:14" x14ac:dyDescent="0.25">
      <c r="A311" s="59">
        <v>32752</v>
      </c>
      <c r="B311" s="62"/>
      <c r="C311" s="45"/>
      <c r="D311" s="46">
        <v>28.32</v>
      </c>
      <c r="F311" s="46"/>
      <c r="G311" s="46" t="str">
        <f ca="1">IF(L310="","",G310+MAX(0,(1+L310)/ROUND(OFFSET(A311,0,FORMULÁRIO!$E$10-1)/OFFSET(A310,0,FORMULÁRIO!$E$10-1),4)-1)+IF(DATE(YEAR(FORMULÁRIO!Q$22),MONTH(FORMULÁRIO!Q$22),1)=TabelaCalculo[[#This Row],[DATA]],M310*(1-DAY(FORMULÁRIO!Q$22))/DAY(EOMONTH(TabelaCalculo[[#This Row],[DATA]],0)),0)+IF(DATE(YEAR(FORMULÁRIO!Q$24),MONTH(FORMULÁRIO!Q$24),1)=TabelaCalculo[[#This Row],[DATA]],M310*(-1+DAY(FORMULÁRIO!Q$24))/DAY(EOMONTH(TabelaCalculo[[#This Row],[DATA]],0)),0))</f>
        <v/>
      </c>
      <c r="H311" s="46"/>
      <c r="I311" s="62">
        <v>25.235862000000001</v>
      </c>
      <c r="J311" s="62">
        <v>2.2470509999999999</v>
      </c>
      <c r="K311" s="62">
        <v>25.235862000000001</v>
      </c>
      <c r="L311" s="80"/>
      <c r="M311" s="91"/>
      <c r="N311" s="46"/>
    </row>
    <row r="312" spans="1:14" x14ac:dyDescent="0.25">
      <c r="A312" s="59">
        <v>32782</v>
      </c>
      <c r="B312" s="62"/>
      <c r="C312" s="45"/>
      <c r="D312" s="46">
        <v>38.5</v>
      </c>
      <c r="F312" s="46"/>
      <c r="G312" s="46" t="str">
        <f ca="1">IF(L311="","",G311+MAX(0,(1+L311)/ROUND(OFFSET(A312,0,FORMULÁRIO!$E$10-1)/OFFSET(A311,0,FORMULÁRIO!$E$10-1),4)-1)+IF(DATE(YEAR(FORMULÁRIO!Q$22),MONTH(FORMULÁRIO!Q$22),1)=TabelaCalculo[[#This Row],[DATA]],M311*(1-DAY(FORMULÁRIO!Q$22))/DAY(EOMONTH(TabelaCalculo[[#This Row],[DATA]],0)),0)+IF(DATE(YEAR(FORMULÁRIO!Q$24),MONTH(FORMULÁRIO!Q$24),1)=TabelaCalculo[[#This Row],[DATA]],M311*(-1+DAY(FORMULÁRIO!Q$24))/DAY(EOMONTH(TabelaCalculo[[#This Row],[DATA]],0)),0))</f>
        <v/>
      </c>
      <c r="H312" s="46"/>
      <c r="I312" s="62">
        <v>34.308154000000002</v>
      </c>
      <c r="J312" s="62">
        <v>3.0548649999999999</v>
      </c>
      <c r="K312" s="62">
        <v>34.308154000000002</v>
      </c>
      <c r="L312" s="80"/>
      <c r="M312" s="91"/>
      <c r="N312" s="46"/>
    </row>
    <row r="313" spans="1:14" x14ac:dyDescent="0.25">
      <c r="A313" s="59">
        <v>32813</v>
      </c>
      <c r="B313" s="62"/>
      <c r="C313" s="45"/>
      <c r="D313" s="46">
        <v>52.98</v>
      </c>
      <c r="F313" s="46"/>
      <c r="G313" s="46" t="str">
        <f ca="1">IF(L312="","",G312+MAX(0,(1+L312)/ROUND(OFFSET(A313,0,FORMULÁRIO!$E$10-1)/OFFSET(A312,0,FORMULÁRIO!$E$10-1),4)-1)+IF(DATE(YEAR(FORMULÁRIO!Q$22),MONTH(FORMULÁRIO!Q$22),1)=TabelaCalculo[[#This Row],[DATA]],M312*(1-DAY(FORMULÁRIO!Q$22))/DAY(EOMONTH(TabelaCalculo[[#This Row],[DATA]],0)),0)+IF(DATE(YEAR(FORMULÁRIO!Q$24),MONTH(FORMULÁRIO!Q$24),1)=TabelaCalculo[[#This Row],[DATA]],M312*(-1+DAY(FORMULÁRIO!Q$24))/DAY(EOMONTH(TabelaCalculo[[#This Row],[DATA]],0)),0))</f>
        <v/>
      </c>
      <c r="H313" s="46"/>
      <c r="I313" s="62">
        <v>47.214880999999998</v>
      </c>
      <c r="J313" s="62">
        <v>4.2041060000000003</v>
      </c>
      <c r="K313" s="62">
        <v>47.214880999999998</v>
      </c>
      <c r="L313" s="80"/>
      <c r="M313" s="91"/>
      <c r="N313" s="46"/>
    </row>
    <row r="314" spans="1:14" x14ac:dyDescent="0.25">
      <c r="A314" s="59">
        <v>32843</v>
      </c>
      <c r="B314" s="62"/>
      <c r="C314" s="45"/>
      <c r="D314" s="46">
        <v>74.930000000000007</v>
      </c>
      <c r="F314" s="46"/>
      <c r="G314" s="46" t="str">
        <f ca="1">IF(L313="","",G313+MAX(0,(1+L313)/ROUND(OFFSET(A314,0,FORMULÁRIO!$E$10-1)/OFFSET(A313,0,FORMULÁRIO!$E$10-1),4)-1)+IF(DATE(YEAR(FORMULÁRIO!Q$22),MONTH(FORMULÁRIO!Q$22),1)=TabelaCalculo[[#This Row],[DATA]],M313*(1-DAY(FORMULÁRIO!Q$22))/DAY(EOMONTH(TabelaCalculo[[#This Row],[DATA]],0)),0)+IF(DATE(YEAR(FORMULÁRIO!Q$24),MONTH(FORMULÁRIO!Q$24),1)=TabelaCalculo[[#This Row],[DATA]],M313*(-1+DAY(FORMULÁRIO!Q$24))/DAY(EOMONTH(TabelaCalculo[[#This Row],[DATA]],0)),0))</f>
        <v/>
      </c>
      <c r="H314" s="46"/>
      <c r="I314" s="62">
        <v>66.771283999999994</v>
      </c>
      <c r="J314" s="62">
        <v>5.9454459999999996</v>
      </c>
      <c r="K314" s="62">
        <v>66.771283999999994</v>
      </c>
      <c r="L314" s="80"/>
      <c r="M314" s="91"/>
      <c r="N314" s="46"/>
    </row>
    <row r="315" spans="1:14" x14ac:dyDescent="0.25">
      <c r="A315" s="59">
        <v>32874</v>
      </c>
      <c r="B315" s="62"/>
      <c r="C315" s="45"/>
      <c r="D315" s="46">
        <v>115.06</v>
      </c>
      <c r="F315" s="46"/>
      <c r="G315" s="46" t="str">
        <f ca="1">IF(L314="","",G314+MAX(0,(1+L314)/ROUND(OFFSET(A315,0,FORMULÁRIO!$E$10-1)/OFFSET(A314,0,FORMULÁRIO!$E$10-1),4)-1)+IF(DATE(YEAR(FORMULÁRIO!Q$22),MONTH(FORMULÁRIO!Q$22),1)=TabelaCalculo[[#This Row],[DATA]],M314*(1-DAY(FORMULÁRIO!Q$22))/DAY(EOMONTH(TabelaCalculo[[#This Row],[DATA]],0)),0)+IF(DATE(YEAR(FORMULÁRIO!Q$24),MONTH(FORMULÁRIO!Q$24),1)=TabelaCalculo[[#This Row],[DATA]],M314*(-1+DAY(FORMULÁRIO!Q$24))/DAY(EOMONTH(TabelaCalculo[[#This Row],[DATA]],0)),0))</f>
        <v/>
      </c>
      <c r="H315" s="46"/>
      <c r="I315" s="62">
        <v>102.527306</v>
      </c>
      <c r="J315" s="62">
        <v>9.1292329999999993</v>
      </c>
      <c r="K315" s="62">
        <v>102.527306</v>
      </c>
      <c r="L315" s="80"/>
      <c r="M315" s="91"/>
      <c r="N315" s="46"/>
    </row>
    <row r="316" spans="1:14" x14ac:dyDescent="0.25">
      <c r="A316" s="59">
        <v>32905</v>
      </c>
      <c r="B316" s="62"/>
      <c r="C316" s="45"/>
      <c r="D316" s="46">
        <v>179.62</v>
      </c>
      <c r="F316" s="46"/>
      <c r="G316" s="46" t="str">
        <f ca="1">IF(L315="","",G315+MAX(0,(1+L315)/ROUND(OFFSET(A316,0,FORMULÁRIO!$E$10-1)/OFFSET(A315,0,FORMULÁRIO!$E$10-1),4)-1)+IF(DATE(YEAR(FORMULÁRIO!Q$22),MONTH(FORMULÁRIO!Q$22),1)=TabelaCalculo[[#This Row],[DATA]],M315*(1-DAY(FORMULÁRIO!Q$22))/DAY(EOMONTH(TabelaCalculo[[#This Row],[DATA]],0)),0)+IF(DATE(YEAR(FORMULÁRIO!Q$24),MONTH(FORMULÁRIO!Q$24),1)=TabelaCalculo[[#This Row],[DATA]],M315*(-1+DAY(FORMULÁRIO!Q$24))/DAY(EOMONTH(TabelaCalculo[[#This Row],[DATA]],0)),0))</f>
        <v/>
      </c>
      <c r="H316" s="46"/>
      <c r="I316" s="62">
        <v>160.05537699999999</v>
      </c>
      <c r="J316" s="62">
        <v>14.251645</v>
      </c>
      <c r="K316" s="62">
        <v>160.05537699999999</v>
      </c>
      <c r="L316" s="80"/>
      <c r="M316" s="91"/>
      <c r="N316" s="46"/>
    </row>
    <row r="317" spans="1:14" x14ac:dyDescent="0.25">
      <c r="A317" s="59">
        <v>32933</v>
      </c>
      <c r="B317" s="62"/>
      <c r="C317" s="45"/>
      <c r="D317" s="46">
        <v>310.35000000000002</v>
      </c>
      <c r="F317" s="46"/>
      <c r="G317" s="46" t="str">
        <f ca="1">IF(L316="","",G316+MAX(0,(1+L316)/ROUND(OFFSET(A317,0,FORMULÁRIO!$E$10-1)/OFFSET(A316,0,FORMULÁRIO!$E$10-1),4)-1)+IF(DATE(YEAR(FORMULÁRIO!Q$22),MONTH(FORMULÁRIO!Q$22),1)=TabelaCalculo[[#This Row],[DATA]],M316*(1-DAY(FORMULÁRIO!Q$22))/DAY(EOMONTH(TabelaCalculo[[#This Row],[DATA]],0)),0)+IF(DATE(YEAR(FORMULÁRIO!Q$24),MONTH(FORMULÁRIO!Q$24),1)=TabelaCalculo[[#This Row],[DATA]],M316*(-1+DAY(FORMULÁRIO!Q$24))/DAY(EOMONTH(TabelaCalculo[[#This Row],[DATA]],0)),0))</f>
        <v/>
      </c>
      <c r="H317" s="46"/>
      <c r="I317" s="62">
        <v>276.54367999999999</v>
      </c>
      <c r="J317" s="62">
        <v>24.623992000000001</v>
      </c>
      <c r="K317" s="62">
        <v>276.54367999999999</v>
      </c>
      <c r="L317" s="80"/>
      <c r="M317" s="91"/>
      <c r="N317" s="46"/>
    </row>
    <row r="318" spans="1:14" x14ac:dyDescent="0.25">
      <c r="A318" s="59">
        <v>32964</v>
      </c>
      <c r="B318" s="62"/>
      <c r="C318" s="45"/>
      <c r="D318" s="46">
        <v>438.46</v>
      </c>
      <c r="F318" s="46"/>
      <c r="G318" s="46" t="str">
        <f ca="1">IF(L317="","",G317+MAX(0,(1+L317)/ROUND(OFFSET(A318,0,FORMULÁRIO!$E$10-1)/OFFSET(A317,0,FORMULÁRIO!$E$10-1),4)-1)+IF(DATE(YEAR(FORMULÁRIO!Q$22),MONTH(FORMULÁRIO!Q$22),1)=TabelaCalculo[[#This Row],[DATA]],M317*(1-DAY(FORMULÁRIO!Q$22))/DAY(EOMONTH(TabelaCalculo[[#This Row],[DATA]],0)),0)+IF(DATE(YEAR(FORMULÁRIO!Q$24),MONTH(FORMULÁRIO!Q$24),1)=TabelaCalculo[[#This Row],[DATA]],M317*(-1+DAY(FORMULÁRIO!Q$24))/DAY(EOMONTH(TabelaCalculo[[#This Row],[DATA]],0)),0))</f>
        <v/>
      </c>
      <c r="H318" s="46"/>
      <c r="I318" s="62">
        <v>509.72530999999998</v>
      </c>
      <c r="J318" s="62">
        <v>45.386941999999998</v>
      </c>
      <c r="K318" s="62">
        <v>509.72530999999998</v>
      </c>
      <c r="L318" s="80"/>
      <c r="M318" s="91"/>
      <c r="N318" s="46"/>
    </row>
    <row r="319" spans="1:14" x14ac:dyDescent="0.25">
      <c r="A319" s="59">
        <v>32994</v>
      </c>
      <c r="B319" s="62"/>
      <c r="C319" s="45"/>
      <c r="D319" s="46">
        <v>438.46</v>
      </c>
      <c r="F319" s="46"/>
      <c r="G319" s="46" t="str">
        <f ca="1">IF(L318="","",G318+MAX(0,(1+L318)/ROUND(OFFSET(A319,0,FORMULÁRIO!$E$10-1)/OFFSET(A318,0,FORMULÁRIO!$E$10-1),4)-1)+IF(DATE(YEAR(FORMULÁRIO!Q$22),MONTH(FORMULÁRIO!Q$22),1)=TabelaCalculo[[#This Row],[DATA]],M318*(1-DAY(FORMULÁRIO!Q$22))/DAY(EOMONTH(TabelaCalculo[[#This Row],[DATA]],0)),0)+IF(DATE(YEAR(FORMULÁRIO!Q$24),MONTH(FORMULÁRIO!Q$24),1)=TabelaCalculo[[#This Row],[DATA]],M318*(-1+DAY(FORMULÁRIO!Q$24))/DAY(EOMONTH(TabelaCalculo[[#This Row],[DATA]],0)),0))</f>
        <v/>
      </c>
      <c r="H319" s="46"/>
      <c r="I319" s="62">
        <v>738.08224800000005</v>
      </c>
      <c r="J319" s="62">
        <v>65.720292000000001</v>
      </c>
      <c r="K319" s="62">
        <v>738.08224800000005</v>
      </c>
      <c r="L319" s="80"/>
      <c r="M319" s="91"/>
      <c r="N319" s="46"/>
    </row>
    <row r="320" spans="1:14" x14ac:dyDescent="0.25">
      <c r="A320" s="59">
        <v>33025</v>
      </c>
      <c r="B320" s="62"/>
      <c r="C320" s="45"/>
      <c r="D320" s="46">
        <v>462.05</v>
      </c>
      <c r="F320" s="46"/>
      <c r="G320" s="46" t="str">
        <f ca="1">IF(L319="","",G319+MAX(0,(1+L319)/ROUND(OFFSET(A320,0,FORMULÁRIO!$E$10-1)/OFFSET(A319,0,FORMULÁRIO!$E$10-1),4)-1)+IF(DATE(YEAR(FORMULÁRIO!Q$22),MONTH(FORMULÁRIO!Q$22),1)=TabelaCalculo[[#This Row],[DATA]],M319*(1-DAY(FORMULÁRIO!Q$22))/DAY(EOMONTH(TabelaCalculo[[#This Row],[DATA]],0)),0)+IF(DATE(YEAR(FORMULÁRIO!Q$24),MONTH(FORMULÁRIO!Q$24),1)=TabelaCalculo[[#This Row],[DATA]],M319*(-1+DAY(FORMULÁRIO!Q$24))/DAY(EOMONTH(TabelaCalculo[[#This Row],[DATA]],0)),0))</f>
        <v/>
      </c>
      <c r="H320" s="46"/>
      <c r="I320" s="62">
        <v>796.16931999999997</v>
      </c>
      <c r="J320" s="62">
        <v>70.892478999999994</v>
      </c>
      <c r="K320" s="62">
        <v>796.16931999999997</v>
      </c>
      <c r="L320" s="80"/>
      <c r="M320" s="91"/>
      <c r="N320" s="46"/>
    </row>
    <row r="321" spans="1:14" x14ac:dyDescent="0.25">
      <c r="A321" s="59">
        <v>33055</v>
      </c>
      <c r="B321" s="62"/>
      <c r="C321" s="45"/>
      <c r="D321" s="46">
        <v>506.46</v>
      </c>
      <c r="F321" s="46"/>
      <c r="G321" s="46" t="str">
        <f ca="1">IF(L320="","",G320+MAX(0,(1+L320)/ROUND(OFFSET(A321,0,FORMULÁRIO!$E$10-1)/OFFSET(A320,0,FORMULÁRIO!$E$10-1),4)-1)+IF(DATE(YEAR(FORMULÁRIO!Q$22),MONTH(FORMULÁRIO!Q$22),1)=TabelaCalculo[[#This Row],[DATA]],M320*(1-DAY(FORMULÁRIO!Q$22))/DAY(EOMONTH(TabelaCalculo[[#This Row],[DATA]],0)),0)+IF(DATE(YEAR(FORMULÁRIO!Q$24),MONTH(FORMULÁRIO!Q$24),1)=TabelaCalculo[[#This Row],[DATA]],M320*(-1+DAY(FORMULÁRIO!Q$24))/DAY(EOMONTH(TabelaCalculo[[#This Row],[DATA]],0)),0))</f>
        <v/>
      </c>
      <c r="H321" s="46"/>
      <c r="I321" s="62">
        <v>872.20348999999999</v>
      </c>
      <c r="J321" s="62">
        <v>77.662711000000002</v>
      </c>
      <c r="K321" s="62">
        <v>872.20348999999999</v>
      </c>
      <c r="L321" s="80"/>
      <c r="M321" s="91"/>
      <c r="N321" s="46"/>
    </row>
    <row r="322" spans="1:14" x14ac:dyDescent="0.25">
      <c r="A322" s="59">
        <v>33086</v>
      </c>
      <c r="B322" s="62"/>
      <c r="C322" s="45"/>
      <c r="D322" s="46">
        <v>561.1</v>
      </c>
      <c r="F322" s="46"/>
      <c r="G322" s="46" t="str">
        <f ca="1">IF(L321="","",G321+MAX(0,(1+L321)/ROUND(OFFSET(A322,0,FORMULÁRIO!$E$10-1)/OFFSET(A321,0,FORMULÁRIO!$E$10-1),4)-1)+IF(DATE(YEAR(FORMULÁRIO!Q$22),MONTH(FORMULÁRIO!Q$22),1)=TabelaCalculo[[#This Row],[DATA]],M321*(1-DAY(FORMULÁRIO!Q$22))/DAY(EOMONTH(TabelaCalculo[[#This Row],[DATA]],0)),0)+IF(DATE(YEAR(FORMULÁRIO!Q$24),MONTH(FORMULÁRIO!Q$24),1)=TabelaCalculo[[#This Row],[DATA]],M321*(-1+DAY(FORMULÁRIO!Q$24))/DAY(EOMONTH(TabelaCalculo[[#This Row],[DATA]],0)),0))</f>
        <v/>
      </c>
      <c r="H322" s="46"/>
      <c r="I322" s="62">
        <v>984.89218000000005</v>
      </c>
      <c r="J322" s="62">
        <v>87.696732999999995</v>
      </c>
      <c r="K322" s="62">
        <v>984.89218000000005</v>
      </c>
      <c r="L322" s="80"/>
      <c r="M322" s="91"/>
      <c r="N322" s="46"/>
    </row>
    <row r="323" spans="1:14" x14ac:dyDescent="0.25">
      <c r="A323" s="59">
        <v>33117</v>
      </c>
      <c r="B323" s="62"/>
      <c r="C323" s="45"/>
      <c r="D323" s="46">
        <v>620.47</v>
      </c>
      <c r="F323" s="46"/>
      <c r="G323" s="46" t="str">
        <f ca="1">IF(L322="","",G322+MAX(0,(1+L322)/ROUND(OFFSET(A323,0,FORMULÁRIO!$E$10-1)/OFFSET(A322,0,FORMULÁRIO!$E$10-1),4)-1)+IF(DATE(YEAR(FORMULÁRIO!Q$22),MONTH(FORMULÁRIO!Q$22),1)=TabelaCalculo[[#This Row],[DATA]],M322*(1-DAY(FORMULÁRIO!Q$22))/DAY(EOMONTH(TabelaCalculo[[#This Row],[DATA]],0)),0)+IF(DATE(YEAR(FORMULÁRIO!Q$24),MONTH(FORMULÁRIO!Q$24),1)=TabelaCalculo[[#This Row],[DATA]],M322*(-1+DAY(FORMULÁRIO!Q$24))/DAY(EOMONTH(TabelaCalculo[[#This Row],[DATA]],0)),0))</f>
        <v/>
      </c>
      <c r="H323" s="46"/>
      <c r="I323" s="62">
        <v>1103.3747089999999</v>
      </c>
      <c r="J323" s="62">
        <v>98.246650000000002</v>
      </c>
      <c r="K323" s="62">
        <v>1103.3747089999999</v>
      </c>
      <c r="L323" s="80"/>
      <c r="M323" s="91"/>
      <c r="N323" s="46"/>
    </row>
    <row r="324" spans="1:14" x14ac:dyDescent="0.25">
      <c r="A324" s="59">
        <v>33147</v>
      </c>
      <c r="B324" s="62"/>
      <c r="C324" s="45"/>
      <c r="D324" s="46">
        <v>700.2</v>
      </c>
      <c r="F324" s="46"/>
      <c r="G324" s="46" t="str">
        <f ca="1">IF(L323="","",G323+MAX(0,(1+L323)/ROUND(OFFSET(A324,0,FORMULÁRIO!$E$10-1)/OFFSET(A323,0,FORMULÁRIO!$E$10-1),4)-1)+IF(DATE(YEAR(FORMULÁRIO!Q$22),MONTH(FORMULÁRIO!Q$22),1)=TabelaCalculo[[#This Row],[DATA]],M323*(1-DAY(FORMULÁRIO!Q$22))/DAY(EOMONTH(TabelaCalculo[[#This Row],[DATA]],0)),0)+IF(DATE(YEAR(FORMULÁRIO!Q$24),MONTH(FORMULÁRIO!Q$24),1)=TabelaCalculo[[#This Row],[DATA]],M323*(-1+DAY(FORMULÁRIO!Q$24))/DAY(EOMONTH(TabelaCalculo[[#This Row],[DATA]],0)),0))</f>
        <v/>
      </c>
      <c r="H324" s="46"/>
      <c r="I324" s="62">
        <v>1244.1653209999999</v>
      </c>
      <c r="J324" s="62">
        <v>110.782923</v>
      </c>
      <c r="K324" s="62">
        <v>1244.1653209999999</v>
      </c>
      <c r="L324" s="80"/>
      <c r="M324" s="91"/>
      <c r="N324" s="46"/>
    </row>
    <row r="325" spans="1:14" x14ac:dyDescent="0.25">
      <c r="A325" s="59">
        <v>33178</v>
      </c>
      <c r="B325" s="62"/>
      <c r="C325" s="45"/>
      <c r="D325" s="46">
        <v>796.2</v>
      </c>
      <c r="F325" s="46"/>
      <c r="G325" s="46" t="str">
        <f ca="1">IF(L324="","",G324+MAX(0,(1+L324)/ROUND(OFFSET(A325,0,FORMULÁRIO!$E$10-1)/OFFSET(A324,0,FORMULÁRIO!$E$10-1),4)-1)+IF(DATE(YEAR(FORMULÁRIO!Q$22),MONTH(FORMULÁRIO!Q$22),1)=TabelaCalculo[[#This Row],[DATA]],M324*(1-DAY(FORMULÁRIO!Q$22))/DAY(EOMONTH(TabelaCalculo[[#This Row],[DATA]],0)),0)+IF(DATE(YEAR(FORMULÁRIO!Q$24),MONTH(FORMULÁRIO!Q$24),1)=TabelaCalculo[[#This Row],[DATA]],M324*(-1+DAY(FORMULÁRIO!Q$24))/DAY(EOMONTH(TabelaCalculo[[#This Row],[DATA]],0)),0))</f>
        <v/>
      </c>
      <c r="H325" s="46"/>
      <c r="I325" s="62">
        <v>1420.836796</v>
      </c>
      <c r="J325" s="62">
        <v>126.514098</v>
      </c>
      <c r="K325" s="62">
        <v>1420.836796</v>
      </c>
      <c r="L325" s="80"/>
      <c r="M325" s="91"/>
      <c r="N325" s="46"/>
    </row>
    <row r="326" spans="1:14" x14ac:dyDescent="0.25">
      <c r="A326" s="59">
        <v>33208</v>
      </c>
      <c r="B326" s="62"/>
      <c r="C326" s="45"/>
      <c r="D326" s="46">
        <v>928.69</v>
      </c>
      <c r="F326" s="46"/>
      <c r="G326" s="46" t="str">
        <f ca="1">IF(L325="","",G325+MAX(0,(1+L325)/ROUND(OFFSET(A326,0,FORMULÁRIO!$E$10-1)/OFFSET(A325,0,FORMULÁRIO!$E$10-1),4)-1)+IF(DATE(YEAR(FORMULÁRIO!Q$22),MONTH(FORMULÁRIO!Q$22),1)=TabelaCalculo[[#This Row],[DATA]],M325*(1-DAY(FORMULÁRIO!Q$22))/DAY(EOMONTH(TabelaCalculo[[#This Row],[DATA]],0)),0)+IF(DATE(YEAR(FORMULÁRIO!Q$24),MONTH(FORMULÁRIO!Q$24),1)=TabelaCalculo[[#This Row],[DATA]],M325*(-1+DAY(FORMULÁRIO!Q$24))/DAY(EOMONTH(TabelaCalculo[[#This Row],[DATA]],0)),0))</f>
        <v/>
      </c>
      <c r="H326" s="46"/>
      <c r="I326" s="62">
        <v>1642.203168</v>
      </c>
      <c r="J326" s="62">
        <v>146.22499400000001</v>
      </c>
      <c r="K326" s="62">
        <v>1642.203168</v>
      </c>
      <c r="L326" s="80"/>
      <c r="M326" s="91"/>
      <c r="N326" s="46"/>
    </row>
    <row r="327" spans="1:14" x14ac:dyDescent="0.25">
      <c r="A327" s="59">
        <v>33239</v>
      </c>
      <c r="B327" s="62"/>
      <c r="C327" s="45"/>
      <c r="D327" s="46">
        <v>1108.76</v>
      </c>
      <c r="F327" s="46"/>
      <c r="G327" s="46" t="str">
        <f ca="1">IF(L326="","",G326+MAX(0,(1+L326)/ROUND(OFFSET(A327,0,FORMULÁRIO!$E$10-1)/OFFSET(A326,0,FORMULÁRIO!$E$10-1),4)-1)+IF(DATE(YEAR(FORMULÁRIO!Q$22),MONTH(FORMULÁRIO!Q$22),1)=TabelaCalculo[[#This Row],[DATA]],M326*(1-DAY(FORMULÁRIO!Q$22))/DAY(EOMONTH(TabelaCalculo[[#This Row],[DATA]],0)),0)+IF(DATE(YEAR(FORMULÁRIO!Q$24),MONTH(FORMULÁRIO!Q$24),1)=TabelaCalculo[[#This Row],[DATA]],M326*(-1+DAY(FORMULÁRIO!Q$24))/DAY(EOMONTH(TabelaCalculo[[#This Row],[DATA]],0)),0))</f>
        <v/>
      </c>
      <c r="H327" s="46"/>
      <c r="I327" s="62">
        <v>1942.726347</v>
      </c>
      <c r="J327" s="62">
        <v>172.98416800000001</v>
      </c>
      <c r="K327" s="62">
        <v>1942.726347</v>
      </c>
      <c r="L327" s="80"/>
      <c r="M327" s="91"/>
      <c r="N327" s="46"/>
    </row>
    <row r="328" spans="1:14" x14ac:dyDescent="0.25">
      <c r="A328" s="59">
        <v>33270</v>
      </c>
      <c r="B328" s="62"/>
      <c r="C328" s="45"/>
      <c r="D328" s="46">
        <v>1332.84</v>
      </c>
      <c r="F328" s="46"/>
      <c r="G328" s="46" t="str">
        <f ca="1">IF(L327="","",G327+MAX(0,(1+L327)/ROUND(OFFSET(A328,0,FORMULÁRIO!$E$10-1)/OFFSET(A327,0,FORMULÁRIO!$E$10-1),4)-1)+IF(DATE(YEAR(FORMULÁRIO!Q$22),MONTH(FORMULÁRIO!Q$22),1)=TabelaCalculo[[#This Row],[DATA]],M327*(1-DAY(FORMULÁRIO!Q$22))/DAY(EOMONTH(TabelaCalculo[[#This Row],[DATA]],0)),0)+IF(DATE(YEAR(FORMULÁRIO!Q$24),MONTH(FORMULÁRIO!Q$24),1)=TabelaCalculo[[#This Row],[DATA]],M327*(-1+DAY(FORMULÁRIO!Q$24))/DAY(EOMONTH(TabelaCalculo[[#This Row],[DATA]],0)),0))</f>
        <v/>
      </c>
      <c r="H328" s="46"/>
      <c r="I328" s="62">
        <v>2329.523162</v>
      </c>
      <c r="J328" s="62">
        <v>207.42531600000001</v>
      </c>
      <c r="K328" s="62">
        <v>2329.523162</v>
      </c>
      <c r="L328" s="80"/>
      <c r="M328" s="91"/>
      <c r="N328" s="46"/>
    </row>
    <row r="329" spans="1:14" x14ac:dyDescent="0.25">
      <c r="A329" s="59">
        <v>33298</v>
      </c>
      <c r="B329" s="62"/>
      <c r="C329" s="45"/>
      <c r="D329" s="46">
        <v>1627.76</v>
      </c>
      <c r="F329" s="46"/>
      <c r="G329" s="46" t="str">
        <f ca="1">IF(L328="","",G328+MAX(0,(1+L328)/ROUND(OFFSET(A329,0,FORMULÁRIO!$E$10-1)/OFFSET(A328,0,FORMULÁRIO!$E$10-1),4)-1)+IF(DATE(YEAR(FORMULÁRIO!Q$22),MONTH(FORMULÁRIO!Q$22),1)=TabelaCalculo[[#This Row],[DATA]],M328*(1-DAY(FORMULÁRIO!Q$22))/DAY(EOMONTH(TabelaCalculo[[#This Row],[DATA]],0)),0)+IF(DATE(YEAR(FORMULÁRIO!Q$24),MONTH(FORMULÁRIO!Q$24),1)=TabelaCalculo[[#This Row],[DATA]],M328*(-1+DAY(FORMULÁRIO!Q$24))/DAY(EOMONTH(TabelaCalculo[[#This Row],[DATA]],0)),0))</f>
        <v/>
      </c>
      <c r="H329" s="46"/>
      <c r="I329" s="62">
        <v>2838.989877</v>
      </c>
      <c r="J329" s="62">
        <v>252.789232</v>
      </c>
      <c r="K329" s="62">
        <v>2838.989877</v>
      </c>
      <c r="L329" s="80"/>
      <c r="M329" s="91"/>
      <c r="N329" s="46"/>
    </row>
    <row r="330" spans="1:14" x14ac:dyDescent="0.25">
      <c r="A330" s="59">
        <v>33329</v>
      </c>
      <c r="B330" s="62"/>
      <c r="C330" s="45"/>
      <c r="D330" s="46">
        <v>1811.88</v>
      </c>
      <c r="F330" s="46"/>
      <c r="G330" s="46" t="str">
        <f ca="1">IF(L329="","",G329+MAX(0,(1+L329)/ROUND(OFFSET(A330,0,FORMULÁRIO!$E$10-1)/OFFSET(A329,0,FORMULÁRIO!$E$10-1),4)-1)+IF(DATE(YEAR(FORMULÁRIO!Q$22),MONTH(FORMULÁRIO!Q$22),1)=TabelaCalculo[[#This Row],[DATA]],M329*(1-DAY(FORMULÁRIO!Q$22))/DAY(EOMONTH(TabelaCalculo[[#This Row],[DATA]],0)),0)+IF(DATE(YEAR(FORMULÁRIO!Q$24),MONTH(FORMULÁRIO!Q$24),1)=TabelaCalculo[[#This Row],[DATA]],M329*(-1+DAY(FORMULÁRIO!Q$24))/DAY(EOMONTH(TabelaCalculo[[#This Row],[DATA]],0)),0))</f>
        <v/>
      </c>
      <c r="H330" s="46"/>
      <c r="I330" s="62">
        <v>3173.7067830000001</v>
      </c>
      <c r="J330" s="62">
        <v>282.59308299999998</v>
      </c>
      <c r="K330" s="62">
        <v>3173.7067830000001</v>
      </c>
      <c r="L330" s="80"/>
      <c r="M330" s="91"/>
      <c r="N330" s="46"/>
    </row>
    <row r="331" spans="1:14" x14ac:dyDescent="0.25">
      <c r="A331" s="59">
        <v>33359</v>
      </c>
      <c r="B331" s="62"/>
      <c r="C331" s="45"/>
      <c r="D331" s="46">
        <v>1942.33</v>
      </c>
      <c r="F331" s="46"/>
      <c r="G331" s="46" t="str">
        <f ca="1">IF(L330="","",G330+MAX(0,(1+L330)/ROUND(OFFSET(A331,0,FORMULÁRIO!$E$10-1)/OFFSET(A330,0,FORMULÁRIO!$E$10-1),4)-1)+IF(DATE(YEAR(FORMULÁRIO!Q$22),MONTH(FORMULÁRIO!Q$22),1)=TabelaCalculo[[#This Row],[DATA]],M330*(1-DAY(FORMULÁRIO!Q$22))/DAY(EOMONTH(TabelaCalculo[[#This Row],[DATA]],0)),0)+IF(DATE(YEAR(FORMULÁRIO!Q$24),MONTH(FORMULÁRIO!Q$24),1)=TabelaCalculo[[#This Row],[DATA]],M330*(-1+DAY(FORMULÁRIO!Q$24))/DAY(EOMONTH(TabelaCalculo[[#This Row],[DATA]],0)),0))</f>
        <v/>
      </c>
      <c r="H331" s="46"/>
      <c r="I331" s="62">
        <v>3332.709492</v>
      </c>
      <c r="J331" s="62">
        <v>296.75099599999999</v>
      </c>
      <c r="K331" s="62">
        <v>3332.709492</v>
      </c>
      <c r="L331" s="80"/>
      <c r="M331" s="91"/>
      <c r="N331" s="46"/>
    </row>
    <row r="332" spans="1:14" x14ac:dyDescent="0.25">
      <c r="A332" s="59">
        <v>33390</v>
      </c>
      <c r="B332" s="62"/>
      <c r="C332" s="45"/>
      <c r="D332" s="46">
        <v>2062.94</v>
      </c>
      <c r="F332" s="46"/>
      <c r="G332" s="46" t="str">
        <f ca="1">IF(L331="","",G331+MAX(0,(1+L331)/ROUND(OFFSET(A332,0,FORMULÁRIO!$E$10-1)/OFFSET(A331,0,FORMULÁRIO!$E$10-1),4)-1)+IF(DATE(YEAR(FORMULÁRIO!Q$22),MONTH(FORMULÁRIO!Q$22),1)=TabelaCalculo[[#This Row],[DATA]],M331*(1-DAY(FORMULÁRIO!Q$22))/DAY(EOMONTH(TabelaCalculo[[#This Row],[DATA]],0)),0)+IF(DATE(YEAR(FORMULÁRIO!Q$24),MONTH(FORMULÁRIO!Q$24),1)=TabelaCalculo[[#This Row],[DATA]],M331*(-1+DAY(FORMULÁRIO!Q$24))/DAY(EOMONTH(TabelaCalculo[[#This Row],[DATA]],0)),0))</f>
        <v/>
      </c>
      <c r="H332" s="46"/>
      <c r="I332" s="62">
        <v>3555.3344860000002</v>
      </c>
      <c r="J332" s="62">
        <v>316.57396199999999</v>
      </c>
      <c r="K332" s="62">
        <v>3555.3344860000002</v>
      </c>
      <c r="L332" s="80"/>
      <c r="M332" s="91"/>
      <c r="N332" s="46"/>
    </row>
    <row r="333" spans="1:14" x14ac:dyDescent="0.25">
      <c r="A333" s="59">
        <v>33420</v>
      </c>
      <c r="B333" s="62"/>
      <c r="C333" s="45"/>
      <c r="D333" s="46">
        <v>2195.4499999999998</v>
      </c>
      <c r="F333" s="46"/>
      <c r="G333" s="46" t="str">
        <f ca="1">IF(L332="","",G332+MAX(0,(1+L332)/ROUND(OFFSET(A333,0,FORMULÁRIO!$E$10-1)/OFFSET(A332,0,FORMULÁRIO!$E$10-1),4)-1)+IF(DATE(YEAR(FORMULÁRIO!Q$22),MONTH(FORMULÁRIO!Q$22),1)=TabelaCalculo[[#This Row],[DATA]],M332*(1-DAY(FORMULÁRIO!Q$22))/DAY(EOMONTH(TabelaCalculo[[#This Row],[DATA]],0)),0)+IF(DATE(YEAR(FORMULÁRIO!Q$24),MONTH(FORMULÁRIO!Q$24),1)=TabelaCalculo[[#This Row],[DATA]],M332*(-1+DAY(FORMULÁRIO!Q$24))/DAY(EOMONTH(TabelaCalculo[[#This Row],[DATA]],0)),0))</f>
        <v/>
      </c>
      <c r="H333" s="46"/>
      <c r="I333" s="62">
        <v>3940.3772100000001</v>
      </c>
      <c r="J333" s="62">
        <v>350.85892200000001</v>
      </c>
      <c r="K333" s="62">
        <v>3940.3772100000001</v>
      </c>
      <c r="L333" s="80"/>
      <c r="M333" s="91"/>
      <c r="N333" s="46"/>
    </row>
    <row r="334" spans="1:14" x14ac:dyDescent="0.25">
      <c r="A334" s="59">
        <v>33451</v>
      </c>
      <c r="B334" s="62"/>
      <c r="C334" s="45"/>
      <c r="D334" s="46">
        <v>2433.54</v>
      </c>
      <c r="F334" s="46"/>
      <c r="G334" s="46" t="str">
        <f ca="1">IF(L333="","",G333+MAX(0,(1+L333)/ROUND(OFFSET(A334,0,FORMULÁRIO!$E$10-1)/OFFSET(A333,0,FORMULÁRIO!$E$10-1),4)-1)+IF(DATE(YEAR(FORMULÁRIO!Q$22),MONTH(FORMULÁRIO!Q$22),1)=TabelaCalculo[[#This Row],[DATA]],M333*(1-DAY(FORMULÁRIO!Q$22))/DAY(EOMONTH(TabelaCalculo[[#This Row],[DATA]],0)),0)+IF(DATE(YEAR(FORMULÁRIO!Q$24),MONTH(FORMULÁRIO!Q$24),1)=TabelaCalculo[[#This Row],[DATA]],M333*(-1+DAY(FORMULÁRIO!Q$24))/DAY(EOMONTH(TabelaCalculo[[#This Row],[DATA]],0)),0))</f>
        <v/>
      </c>
      <c r="H334" s="46"/>
      <c r="I334" s="62">
        <v>4418.7390029999997</v>
      </c>
      <c r="J334" s="62">
        <v>393.45319599999999</v>
      </c>
      <c r="K334" s="62">
        <v>4418.7390029999997</v>
      </c>
      <c r="L334" s="80"/>
      <c r="M334" s="91"/>
      <c r="N334" s="46"/>
    </row>
    <row r="335" spans="1:14" x14ac:dyDescent="0.25">
      <c r="A335" s="59">
        <v>33482</v>
      </c>
      <c r="B335" s="62"/>
      <c r="C335" s="45"/>
      <c r="D335" s="46">
        <v>2758.28</v>
      </c>
      <c r="F335" s="46"/>
      <c r="G335" s="46" t="str">
        <f ca="1">IF(L334="","",G334+MAX(0,(1+L334)/ROUND(OFFSET(A335,0,FORMULÁRIO!$E$10-1)/OFFSET(A334,0,FORMULÁRIO!$E$10-1),4)-1)+IF(DATE(YEAR(FORMULÁRIO!Q$22),MONTH(FORMULÁRIO!Q$22),1)=TabelaCalculo[[#This Row],[DATA]],M334*(1-DAY(FORMULÁRIO!Q$22))/DAY(EOMONTH(TabelaCalculo[[#This Row],[DATA]],0)),0)+IF(DATE(YEAR(FORMULÁRIO!Q$24),MONTH(FORMULÁRIO!Q$24),1)=TabelaCalculo[[#This Row],[DATA]],M334*(-1+DAY(FORMULÁRIO!Q$24))/DAY(EOMONTH(TabelaCalculo[[#This Row],[DATA]],0)),0))</f>
        <v/>
      </c>
      <c r="H335" s="46"/>
      <c r="I335" s="62">
        <v>5108.9460349999999</v>
      </c>
      <c r="J335" s="62">
        <v>454.91058500000003</v>
      </c>
      <c r="K335" s="62">
        <v>5108.9460349999999</v>
      </c>
      <c r="L335" s="80"/>
      <c r="M335" s="91"/>
      <c r="N335" s="46"/>
    </row>
    <row r="336" spans="1:14" x14ac:dyDescent="0.25">
      <c r="A336" s="59">
        <v>33512</v>
      </c>
      <c r="B336" s="62"/>
      <c r="C336" s="45"/>
      <c r="D336" s="46">
        <v>3156.84</v>
      </c>
      <c r="F336" s="46"/>
      <c r="G336" s="46" t="str">
        <f ca="1">IF(L335="","",G335+MAX(0,(1+L335)/ROUND(OFFSET(A336,0,FORMULÁRIO!$E$10-1)/OFFSET(A335,0,FORMULÁRIO!$E$10-1),4)-1)+IF(DATE(YEAR(FORMULÁRIO!Q$22),MONTH(FORMULÁRIO!Q$22),1)=TabelaCalculo[[#This Row],[DATA]],M335*(1-DAY(FORMULÁRIO!Q$22))/DAY(EOMONTH(TabelaCalculo[[#This Row],[DATA]],0)),0)+IF(DATE(YEAR(FORMULÁRIO!Q$24),MONTH(FORMULÁRIO!Q$24),1)=TabelaCalculo[[#This Row],[DATA]],M335*(-1+DAY(FORMULÁRIO!Q$24))/DAY(EOMONTH(TabelaCalculo[[#This Row],[DATA]],0)),0))</f>
        <v/>
      </c>
      <c r="H336" s="46"/>
      <c r="I336" s="62">
        <v>5906.9634050000004</v>
      </c>
      <c r="J336" s="62">
        <v>525.96761800000002</v>
      </c>
      <c r="K336" s="62">
        <v>5906.9634050000004</v>
      </c>
      <c r="L336" s="80"/>
      <c r="M336" s="91"/>
      <c r="N336" s="46"/>
    </row>
    <row r="337" spans="1:14" x14ac:dyDescent="0.25">
      <c r="A337" s="59">
        <v>33543</v>
      </c>
      <c r="B337" s="62"/>
      <c r="C337" s="45"/>
      <c r="D337" s="46">
        <v>3780.63</v>
      </c>
      <c r="F337" s="46"/>
      <c r="G337" s="46" t="str">
        <f ca="1">IF(L336="","",G336+MAX(0,(1+L336)/ROUND(OFFSET(A337,0,FORMULÁRIO!$E$10-1)/OFFSET(A336,0,FORMULÁRIO!$E$10-1),4)-1)+IF(DATE(YEAR(FORMULÁRIO!Q$22),MONTH(FORMULÁRIO!Q$22),1)=TabelaCalculo[[#This Row],[DATA]],M336*(1-DAY(FORMULÁRIO!Q$22))/DAY(EOMONTH(TabelaCalculo[[#This Row],[DATA]],0)),0)+IF(DATE(YEAR(FORMULÁRIO!Q$24),MONTH(FORMULÁRIO!Q$24),1)=TabelaCalculo[[#This Row],[DATA]],M336*(-1+DAY(FORMULÁRIO!Q$24))/DAY(EOMONTH(TabelaCalculo[[#This Row],[DATA]],0)),0))</f>
        <v/>
      </c>
      <c r="H337" s="46"/>
      <c r="I337" s="62">
        <v>7152.1512899999998</v>
      </c>
      <c r="J337" s="62">
        <v>636.84159199999999</v>
      </c>
      <c r="K337" s="62">
        <v>7152.1512899999998</v>
      </c>
      <c r="L337" s="80"/>
      <c r="M337" s="91"/>
      <c r="N337" s="46"/>
    </row>
    <row r="338" spans="1:14" x14ac:dyDescent="0.25">
      <c r="A338" s="59">
        <v>33573</v>
      </c>
      <c r="B338" s="62"/>
      <c r="C338" s="45"/>
      <c r="D338" s="46">
        <v>4766.33</v>
      </c>
      <c r="F338" s="46"/>
      <c r="G338" s="46" t="str">
        <f ca="1">IF(L337="","",G337+MAX(0,(1+L337)/ROUND(OFFSET(A338,0,FORMULÁRIO!$E$10-1)/OFFSET(A337,0,FORMULÁRIO!$E$10-1),4)-1)+IF(DATE(YEAR(FORMULÁRIO!Q$22),MONTH(FORMULÁRIO!Q$22),1)=TabelaCalculo[[#This Row],[DATA]],M337*(1-DAY(FORMULÁRIO!Q$22))/DAY(EOMONTH(TabelaCalculo[[#This Row],[DATA]],0)),0)+IF(DATE(YEAR(FORMULÁRIO!Q$24),MONTH(FORMULÁRIO!Q$24),1)=TabelaCalculo[[#This Row],[DATA]],M337*(-1+DAY(FORMULÁRIO!Q$24))/DAY(EOMONTH(TabelaCalculo[[#This Row],[DATA]],0)),0))</f>
        <v/>
      </c>
      <c r="H338" s="46"/>
      <c r="I338" s="62">
        <v>9046.0409510000009</v>
      </c>
      <c r="J338" s="62">
        <v>805.47724500000004</v>
      </c>
      <c r="K338" s="62">
        <v>9046.0409510000009</v>
      </c>
      <c r="L338" s="80"/>
      <c r="M338" s="91"/>
      <c r="N338" s="46"/>
    </row>
    <row r="339" spans="1:14" x14ac:dyDescent="0.25">
      <c r="A339" s="59">
        <v>33604</v>
      </c>
      <c r="B339" s="62"/>
      <c r="C339" s="45"/>
      <c r="D339" s="46">
        <v>6021.02</v>
      </c>
      <c r="F339" s="46"/>
      <c r="G339" s="46" t="str">
        <f ca="1">IF(L338="","",G338+MAX(0,(1+L338)/ROUND(OFFSET(A339,0,FORMULÁRIO!$E$10-1)/OFFSET(A338,0,FORMULÁRIO!$E$10-1),4)-1)+IF(DATE(YEAR(FORMULÁRIO!Q$22),MONTH(FORMULÁRIO!Q$22),1)=TabelaCalculo[[#This Row],[DATA]],M338*(1-DAY(FORMULÁRIO!Q$22))/DAY(EOMONTH(TabelaCalculo[[#This Row],[DATA]],0)),0)+IF(DATE(YEAR(FORMULÁRIO!Q$24),MONTH(FORMULÁRIO!Q$24),1)=TabelaCalculo[[#This Row],[DATA]],M338*(-1+DAY(FORMULÁRIO!Q$24))/DAY(EOMONTH(TabelaCalculo[[#This Row],[DATA]],0)),0))</f>
        <v/>
      </c>
      <c r="H339" s="46"/>
      <c r="I339" s="62">
        <v>11230.65984</v>
      </c>
      <c r="J339" s="62">
        <v>1000</v>
      </c>
      <c r="K339" s="62">
        <v>11230.65984</v>
      </c>
      <c r="L339" s="80"/>
      <c r="M339" s="91"/>
      <c r="N339" s="46"/>
    </row>
    <row r="340" spans="1:14" x14ac:dyDescent="0.25">
      <c r="A340" s="59">
        <v>33635</v>
      </c>
      <c r="B340" s="62"/>
      <c r="C340" s="45"/>
      <c r="D340" s="46">
        <v>7473.93</v>
      </c>
      <c r="F340" s="46"/>
      <c r="G340" s="46" t="str">
        <f ca="1">IF(L339="","",G339+MAX(0,(1+L339)/ROUND(OFFSET(A340,0,FORMULÁRIO!$E$10-1)/OFFSET(A339,0,FORMULÁRIO!$E$10-1),4)-1)+IF(DATE(YEAR(FORMULÁRIO!Q$22),MONTH(FORMULÁRIO!Q$22),1)=TabelaCalculo[[#This Row],[DATA]],M339*(1-DAY(FORMULÁRIO!Q$22))/DAY(EOMONTH(TabelaCalculo[[#This Row],[DATA]],0)),0)+IF(DATE(YEAR(FORMULÁRIO!Q$24),MONTH(FORMULÁRIO!Q$24),1)=TabelaCalculo[[#This Row],[DATA]],M339*(-1+DAY(FORMULÁRIO!Q$24))/DAY(EOMONTH(TabelaCalculo[[#This Row],[DATA]],0)),0))</f>
        <v/>
      </c>
      <c r="H340" s="46"/>
      <c r="I340" s="62">
        <v>14141.64687</v>
      </c>
      <c r="J340" s="62">
        <v>1256</v>
      </c>
      <c r="K340" s="62">
        <v>14141.64687</v>
      </c>
      <c r="L340" s="80"/>
      <c r="M340" s="91"/>
      <c r="N340" s="46"/>
    </row>
    <row r="341" spans="1:14" x14ac:dyDescent="0.25">
      <c r="A341" s="59">
        <v>33664</v>
      </c>
      <c r="B341" s="62"/>
      <c r="C341" s="45"/>
      <c r="D341" s="46">
        <v>9133.7800000000007</v>
      </c>
      <c r="F341" s="46"/>
      <c r="G341" s="46" t="str">
        <f ca="1">IF(L340="","",G340+MAX(0,(1+L340)/ROUND(OFFSET(A341,0,FORMULÁRIO!$E$10-1)/OFFSET(A340,0,FORMULÁRIO!$E$10-1),4)-1)+IF(DATE(YEAR(FORMULÁRIO!Q$22),MONTH(FORMULÁRIO!Q$22),1)=TabelaCalculo[[#This Row],[DATA]],M340*(1-DAY(FORMULÁRIO!Q$22))/DAY(EOMONTH(TabelaCalculo[[#This Row],[DATA]],0)),0)+IF(DATE(YEAR(FORMULÁRIO!Q$24),MONTH(FORMULÁRIO!Q$24),1)=TabelaCalculo[[#This Row],[DATA]],M340*(-1+DAY(FORMULÁRIO!Q$24))/DAY(EOMONTH(TabelaCalculo[[#This Row],[DATA]],0)),0))</f>
        <v/>
      </c>
      <c r="H341" s="46"/>
      <c r="I341" s="62">
        <v>17603.522023000001</v>
      </c>
      <c r="J341" s="62">
        <v>1583.816</v>
      </c>
      <c r="K341" s="62">
        <v>17603.522023000001</v>
      </c>
      <c r="L341" s="80"/>
      <c r="M341" s="91"/>
      <c r="N341" s="46"/>
    </row>
    <row r="342" spans="1:14" x14ac:dyDescent="0.25">
      <c r="A342" s="59">
        <v>33695</v>
      </c>
      <c r="B342" s="62"/>
      <c r="C342" s="45"/>
      <c r="D342" s="46">
        <v>10891.38</v>
      </c>
      <c r="F342" s="46"/>
      <c r="G342" s="46" t="str">
        <f ca="1">IF(L341="","",G341+MAX(0,(1+L341)/ROUND(OFFSET(A342,0,FORMULÁRIO!$E$10-1)/OFFSET(A341,0,FORMULÁRIO!$E$10-1),4)-1)+IF(DATE(YEAR(FORMULÁRIO!Q$22),MONTH(FORMULÁRIO!Q$22),1)=TabelaCalculo[[#This Row],[DATA]],M341*(1-DAY(FORMULÁRIO!Q$22))/DAY(EOMONTH(TabelaCalculo[[#This Row],[DATA]],0)),0)+IF(DATE(YEAR(FORMULÁRIO!Q$24),MONTH(FORMULÁRIO!Q$24),1)=TabelaCalculo[[#This Row],[DATA]],M341*(-1+DAY(FORMULÁRIO!Q$24))/DAY(EOMONTH(TabelaCalculo[[#This Row],[DATA]],0)),0))</f>
        <v/>
      </c>
      <c r="H342" s="46"/>
      <c r="I342" s="62">
        <v>21409.403483999999</v>
      </c>
      <c r="J342" s="62">
        <v>1932.7306639999999</v>
      </c>
      <c r="K342" s="62">
        <v>21409.403483999999</v>
      </c>
      <c r="L342" s="80"/>
      <c r="M342" s="91"/>
      <c r="N342" s="46"/>
    </row>
    <row r="343" spans="1:14" x14ac:dyDescent="0.25">
      <c r="A343" s="59">
        <v>33725</v>
      </c>
      <c r="B343" s="62"/>
      <c r="C343" s="45"/>
      <c r="D343" s="46">
        <v>13335.58</v>
      </c>
      <c r="F343" s="46"/>
      <c r="G343" s="46" t="str">
        <f ca="1">IF(L342="","",G342+MAX(0,(1+L342)/ROUND(OFFSET(A343,0,FORMULÁRIO!$E$10-1)/OFFSET(A342,0,FORMULÁRIO!$E$10-1),4)-1)+IF(DATE(YEAR(FORMULÁRIO!Q$22),MONTH(FORMULÁRIO!Q$22),1)=TabelaCalculo[[#This Row],[DATA]],M342*(1-DAY(FORMULÁRIO!Q$22))/DAY(EOMONTH(TabelaCalculo[[#This Row],[DATA]],0)),0)+IF(DATE(YEAR(FORMULÁRIO!Q$24),MONTH(FORMULÁRIO!Q$24),1)=TabelaCalculo[[#This Row],[DATA]],M342*(-1+DAY(FORMULÁRIO!Q$24))/DAY(EOMONTH(TabelaCalculo[[#This Row],[DATA]],0)),0))</f>
        <v/>
      </c>
      <c r="H343" s="46"/>
      <c r="I343" s="62">
        <v>25871.123169999999</v>
      </c>
      <c r="J343" s="62">
        <v>2315.9911539999998</v>
      </c>
      <c r="K343" s="62">
        <v>25871.123169999999</v>
      </c>
      <c r="L343" s="80"/>
      <c r="M343" s="91"/>
      <c r="N343" s="46"/>
    </row>
    <row r="344" spans="1:14" x14ac:dyDescent="0.25">
      <c r="A344" s="59">
        <v>33756</v>
      </c>
      <c r="B344" s="62"/>
      <c r="C344" s="45"/>
      <c r="D344" s="46">
        <v>16223.74</v>
      </c>
      <c r="F344" s="46"/>
      <c r="G344" s="46" t="str">
        <f ca="1">IF(L343="","",G343+MAX(0,(1+L343)/ROUND(OFFSET(A344,0,FORMULÁRIO!$E$10-1)/OFFSET(A343,0,FORMULÁRIO!$E$10-1),4)-1)+IF(DATE(YEAR(FORMULÁRIO!Q$22),MONTH(FORMULÁRIO!Q$22),1)=TabelaCalculo[[#This Row],[DATA]],M343*(1-DAY(FORMULÁRIO!Q$22))/DAY(EOMONTH(TabelaCalculo[[#This Row],[DATA]],0)),0)+IF(DATE(YEAR(FORMULÁRIO!Q$24),MONTH(FORMULÁRIO!Q$24),1)=TabelaCalculo[[#This Row],[DATA]],M343*(-1+DAY(FORMULÁRIO!Q$24))/DAY(EOMONTH(TabelaCalculo[[#This Row],[DATA]],0)),0))</f>
        <v/>
      </c>
      <c r="H344" s="46"/>
      <c r="I344" s="62">
        <v>32209.548346</v>
      </c>
      <c r="J344" s="62">
        <v>2859.0910789999998</v>
      </c>
      <c r="K344" s="62">
        <v>32209.548346</v>
      </c>
      <c r="L344" s="80"/>
      <c r="M344" s="91"/>
      <c r="N344" s="46"/>
    </row>
    <row r="345" spans="1:14" x14ac:dyDescent="0.25">
      <c r="A345" s="59">
        <v>33786</v>
      </c>
      <c r="B345" s="62"/>
      <c r="C345" s="45"/>
      <c r="D345" s="46">
        <v>19836</v>
      </c>
      <c r="F345" s="46"/>
      <c r="G345" s="46" t="str">
        <f ca="1">IF(L344="","",G344+MAX(0,(1+L344)/ROUND(OFFSET(A345,0,FORMULÁRIO!$E$10-1)/OFFSET(A344,0,FORMULÁRIO!$E$10-1),4)-1)+IF(DATE(YEAR(FORMULÁRIO!Q$22),MONTH(FORMULÁRIO!Q$22),1)=TabelaCalculo[[#This Row],[DATA]],M344*(1-DAY(FORMULÁRIO!Q$22))/DAY(EOMONTH(TabelaCalculo[[#This Row],[DATA]],0)),0)+IF(DATE(YEAR(FORMULÁRIO!Q$24),MONTH(FORMULÁRIO!Q$24),1)=TabelaCalculo[[#This Row],[DATA]],M344*(-1+DAY(FORMULÁRIO!Q$24))/DAY(EOMONTH(TabelaCalculo[[#This Row],[DATA]],0)),0))</f>
        <v/>
      </c>
      <c r="H345" s="46"/>
      <c r="I345" s="62">
        <v>38925.239176000003</v>
      </c>
      <c r="J345" s="62">
        <v>3524.4015730000001</v>
      </c>
      <c r="K345" s="62">
        <v>38925.239176000003</v>
      </c>
      <c r="L345" s="80"/>
      <c r="M345" s="91"/>
      <c r="N345" s="46"/>
    </row>
    <row r="346" spans="1:14" x14ac:dyDescent="0.25">
      <c r="A346" s="59">
        <v>33817</v>
      </c>
      <c r="B346" s="62"/>
      <c r="C346" s="45"/>
      <c r="D346" s="46">
        <v>24087.58</v>
      </c>
      <c r="F346" s="46"/>
      <c r="G346" s="46" t="str">
        <f ca="1">IF(L345="","",G345+MAX(0,(1+L345)/ROUND(OFFSET(A346,0,FORMULÁRIO!$E$10-1)/OFFSET(A345,0,FORMULÁRIO!$E$10-1),4)-1)+IF(DATE(YEAR(FORMULÁRIO!Q$22),MONTH(FORMULÁRIO!Q$22),1)=TabelaCalculo[[#This Row],[DATA]],M345*(1-DAY(FORMULÁRIO!Q$22))/DAY(EOMONTH(TabelaCalculo[[#This Row],[DATA]],0)),0)+IF(DATE(YEAR(FORMULÁRIO!Q$24),MONTH(FORMULÁRIO!Q$24),1)=TabelaCalculo[[#This Row],[DATA]],M345*(-1+DAY(FORMULÁRIO!Q$24))/DAY(EOMONTH(TabelaCalculo[[#This Row],[DATA]],0)),0))</f>
        <v/>
      </c>
      <c r="H346" s="46"/>
      <c r="I346" s="62">
        <v>47519.931986000003</v>
      </c>
      <c r="J346" s="62">
        <v>4264.8783430000003</v>
      </c>
      <c r="K346" s="62">
        <v>47519.931986000003</v>
      </c>
      <c r="L346" s="80"/>
      <c r="M346" s="91"/>
      <c r="N346" s="46"/>
    </row>
    <row r="347" spans="1:14" x14ac:dyDescent="0.25">
      <c r="A347" s="59">
        <v>33848</v>
      </c>
      <c r="B347" s="62"/>
      <c r="C347" s="45"/>
      <c r="D347" s="46">
        <v>29076.5</v>
      </c>
      <c r="F347" s="46"/>
      <c r="G347" s="46" t="str">
        <f ca="1">IF(L346="","",G346+MAX(0,(1+L346)/ROUND(OFFSET(A347,0,FORMULÁRIO!$E$10-1)/OFFSET(A346,0,FORMULÁRIO!$E$10-1),4)-1)+IF(DATE(YEAR(FORMULÁRIO!Q$22),MONTH(FORMULÁRIO!Q$22),1)=TabelaCalculo[[#This Row],[DATA]],M346*(1-DAY(FORMULÁRIO!Q$22))/DAY(EOMONTH(TabelaCalculo[[#This Row],[DATA]],0)),0)+IF(DATE(YEAR(FORMULÁRIO!Q$24),MONTH(FORMULÁRIO!Q$24),1)=TabelaCalculo[[#This Row],[DATA]],M346*(-1+DAY(FORMULÁRIO!Q$24))/DAY(EOMONTH(TabelaCalculo[[#This Row],[DATA]],0)),0))</f>
        <v/>
      </c>
      <c r="H347" s="46"/>
      <c r="I347" s="62">
        <v>58154.892763999997</v>
      </c>
      <c r="J347" s="62">
        <v>5251.7711909999998</v>
      </c>
      <c r="K347" s="62">
        <v>58154.892763999997</v>
      </c>
      <c r="L347" s="80"/>
      <c r="M347" s="91"/>
      <c r="N347" s="46"/>
    </row>
    <row r="348" spans="1:14" x14ac:dyDescent="0.25">
      <c r="A348" s="59">
        <v>33878</v>
      </c>
      <c r="B348" s="62"/>
      <c r="C348" s="45"/>
      <c r="D348" s="46">
        <v>35941.230000000003</v>
      </c>
      <c r="F348" s="46"/>
      <c r="G348" s="46" t="str">
        <f ca="1">IF(L347="","",G347+MAX(0,(1+L347)/ROUND(OFFSET(A348,0,FORMULÁRIO!$E$10-1)/OFFSET(A347,0,FORMULÁRIO!$E$10-1),4)-1)+IF(DATE(YEAR(FORMULÁRIO!Q$22),MONTH(FORMULÁRIO!Q$22),1)=TabelaCalculo[[#This Row],[DATA]],M347*(1-DAY(FORMULÁRIO!Q$22))/DAY(EOMONTH(TabelaCalculo[[#This Row],[DATA]],0)),0)+IF(DATE(YEAR(FORMULÁRIO!Q$24),MONTH(FORMULÁRIO!Q$24),1)=TabelaCalculo[[#This Row],[DATA]],M347*(-1+DAY(FORMULÁRIO!Q$24))/DAY(EOMONTH(TabelaCalculo[[#This Row],[DATA]],0)),0))</f>
        <v/>
      </c>
      <c r="H348" s="46"/>
      <c r="I348" s="62">
        <v>72100.436048000003</v>
      </c>
      <c r="J348" s="62">
        <v>6477.0094090000002</v>
      </c>
      <c r="K348" s="62">
        <v>72100.436048000003</v>
      </c>
      <c r="L348" s="80"/>
      <c r="M348" s="91"/>
      <c r="N348" s="46"/>
    </row>
    <row r="349" spans="1:14" x14ac:dyDescent="0.25">
      <c r="A349" s="59">
        <v>33909</v>
      </c>
      <c r="B349" s="62"/>
      <c r="C349" s="45"/>
      <c r="D349" s="46">
        <v>45181.66</v>
      </c>
      <c r="F349" s="46"/>
      <c r="G349" s="46" t="str">
        <f ca="1">IF(L348="","",G348+MAX(0,(1+L348)/ROUND(OFFSET(A349,0,FORMULÁRIO!$E$10-1)/OFFSET(A348,0,FORMULÁRIO!$E$10-1),4)-1)+IF(DATE(YEAR(FORMULÁRIO!Q$22),MONTH(FORMULÁRIO!Q$22),1)=TabelaCalculo[[#This Row],[DATA]],M348*(1-DAY(FORMULÁRIO!Q$22))/DAY(EOMONTH(TabelaCalculo[[#This Row],[DATA]],0)),0)+IF(DATE(YEAR(FORMULÁRIO!Q$24),MONTH(FORMULÁRIO!Q$24),1)=TabelaCalculo[[#This Row],[DATA]],M348*(-1+DAY(FORMULÁRIO!Q$24))/DAY(EOMONTH(TabelaCalculo[[#This Row],[DATA]],0)),0))</f>
        <v/>
      </c>
      <c r="H349" s="46"/>
      <c r="I349" s="62">
        <v>90897.019725000006</v>
      </c>
      <c r="J349" s="62">
        <v>8127.3514059999998</v>
      </c>
      <c r="K349" s="62">
        <v>90897.019725000006</v>
      </c>
      <c r="L349" s="80"/>
      <c r="M349" s="91"/>
      <c r="N349" s="46"/>
    </row>
    <row r="350" spans="1:14" x14ac:dyDescent="0.25">
      <c r="A350" s="59">
        <v>33939</v>
      </c>
      <c r="B350" s="62"/>
      <c r="C350" s="45"/>
      <c r="D350" s="46">
        <v>55520.11</v>
      </c>
      <c r="F350" s="46"/>
      <c r="G350" s="46" t="str">
        <f ca="1">IF(L349="","",G349+MAX(0,(1+L349)/ROUND(OFFSET(A350,0,FORMULÁRIO!$E$10-1)/OFFSET(A349,0,FORMULÁRIO!$E$10-1),4)-1)+IF(DATE(YEAR(FORMULÁRIO!Q$22),MONTH(FORMULÁRIO!Q$22),1)=TabelaCalculo[[#This Row],[DATA]],M349*(1-DAY(FORMULÁRIO!Q$22))/DAY(EOMONTH(TabelaCalculo[[#This Row],[DATA]],0)),0)+IF(DATE(YEAR(FORMULÁRIO!Q$24),MONTH(FORMULÁRIO!Q$24),1)=TabelaCalculo[[#This Row],[DATA]],M349*(-1+DAY(FORMULÁRIO!Q$24))/DAY(EOMONTH(TabelaCalculo[[#This Row],[DATA]],0)),0))</f>
        <v/>
      </c>
      <c r="H350" s="46"/>
      <c r="I350" s="62">
        <v>111703.34754</v>
      </c>
      <c r="J350" s="62">
        <v>10053.533689</v>
      </c>
      <c r="K350" s="62">
        <v>111703.34754</v>
      </c>
      <c r="L350" s="80"/>
      <c r="M350" s="91"/>
      <c r="N350" s="46"/>
    </row>
    <row r="351" spans="1:14" x14ac:dyDescent="0.25">
      <c r="A351" s="59">
        <v>33970</v>
      </c>
      <c r="B351" s="62"/>
      <c r="C351" s="45"/>
      <c r="D351" s="46">
        <v>68658.210000000006</v>
      </c>
      <c r="F351" s="46"/>
      <c r="G351" s="46" t="str">
        <f ca="1">IF(L350="","",G350+MAX(0,(1+L350)/ROUND(OFFSET(A351,0,FORMULÁRIO!$E$10-1)/OFFSET(A350,0,FORMULÁRIO!$E$10-1),4)-1)+IF(DATE(YEAR(FORMULÁRIO!Q$22),MONTH(FORMULÁRIO!Q$22),1)=TabelaCalculo[[#This Row],[DATA]],M350*(1-DAY(FORMULÁRIO!Q$22))/DAY(EOMONTH(TabelaCalculo[[#This Row],[DATA]],0)),0)+IF(DATE(YEAR(FORMULÁRIO!Q$24),MONTH(FORMULÁRIO!Q$24),1)=TabelaCalculo[[#This Row],[DATA]],M350*(-1+DAY(FORMULÁRIO!Q$24))/DAY(EOMONTH(TabelaCalculo[[#This Row],[DATA]],0)),0))</f>
        <v/>
      </c>
      <c r="H351" s="46"/>
      <c r="I351" s="62">
        <v>140277.06383999999</v>
      </c>
      <c r="J351" s="62">
        <v>12415.108752</v>
      </c>
      <c r="K351" s="62">
        <v>140277.06383999999</v>
      </c>
      <c r="L351" s="80"/>
      <c r="M351" s="91"/>
      <c r="N351" s="46"/>
    </row>
    <row r="352" spans="1:14" x14ac:dyDescent="0.25">
      <c r="A352" s="59">
        <v>34001</v>
      </c>
      <c r="B352" s="62"/>
      <c r="C352" s="45"/>
      <c r="D352" s="46">
        <v>85702.31</v>
      </c>
      <c r="F352" s="46"/>
      <c r="G352" s="46" t="str">
        <f ca="1">IF(L351="","",G351+MAX(0,(1+L351)/ROUND(OFFSET(A352,0,FORMULÁRIO!$E$10-1)/OFFSET(A351,0,FORMULÁRIO!$E$10-1),4)-1)+IF(DATE(YEAR(FORMULÁRIO!Q$22),MONTH(FORMULÁRIO!Q$22),1)=TabelaCalculo[[#This Row],[DATA]],M351*(1-DAY(FORMULÁRIO!Q$22))/DAY(EOMONTH(TabelaCalculo[[#This Row],[DATA]],0)),0)+IF(DATE(YEAR(FORMULÁRIO!Q$24),MONTH(FORMULÁRIO!Q$24),1)=TabelaCalculo[[#This Row],[DATA]],M351*(-1+DAY(FORMULÁRIO!Q$24))/DAY(EOMONTH(TabelaCalculo[[#This Row],[DATA]],0)),0))</f>
        <v/>
      </c>
      <c r="H352" s="46"/>
      <c r="I352" s="62">
        <v>180634.77510599999</v>
      </c>
      <c r="J352" s="62">
        <v>16073.841301</v>
      </c>
      <c r="K352" s="62">
        <v>180634.77510599999</v>
      </c>
      <c r="L352" s="80"/>
      <c r="M352" s="91"/>
      <c r="N352" s="46"/>
    </row>
    <row r="353" spans="1:14" x14ac:dyDescent="0.25">
      <c r="A353" s="59">
        <v>34029</v>
      </c>
      <c r="B353" s="62"/>
      <c r="C353" s="45"/>
      <c r="D353" s="46">
        <v>108284.86</v>
      </c>
      <c r="F353" s="46"/>
      <c r="G353" s="46" t="str">
        <f ca="1">IF(L352="","",G352+MAX(0,(1+L352)/ROUND(OFFSET(A353,0,FORMULÁRIO!$E$10-1)/OFFSET(A352,0,FORMULÁRIO!$E$10-1),4)-1)+IF(DATE(YEAR(FORMULÁRIO!Q$22),MONTH(FORMULÁRIO!Q$22),1)=TabelaCalculo[[#This Row],[DATA]],M352*(1-DAY(FORMULÁRIO!Q$22))/DAY(EOMONTH(TabelaCalculo[[#This Row],[DATA]],0)),0)+IF(DATE(YEAR(FORMULÁRIO!Q$24),MONTH(FORMULÁRIO!Q$24),1)=TabelaCalculo[[#This Row],[DATA]],M352*(-1+DAY(FORMULÁRIO!Q$24))/DAY(EOMONTH(TabelaCalculo[[#This Row],[DATA]],0)),0))</f>
        <v/>
      </c>
      <c r="H353" s="46"/>
      <c r="I353" s="62">
        <v>225414.13585399999</v>
      </c>
      <c r="J353" s="62">
        <v>20368.771696</v>
      </c>
      <c r="K353" s="62">
        <v>225414.13585399999</v>
      </c>
      <c r="L353" s="80"/>
      <c r="M353" s="91"/>
      <c r="N353" s="46"/>
    </row>
    <row r="354" spans="1:14" x14ac:dyDescent="0.25">
      <c r="A354" s="59">
        <v>34060</v>
      </c>
      <c r="B354" s="62"/>
      <c r="C354" s="45"/>
      <c r="D354" s="46">
        <v>138448</v>
      </c>
      <c r="F354" s="46"/>
      <c r="G354" s="46" t="str">
        <f ca="1">IF(L353="","",G353+MAX(0,(1+L353)/ROUND(OFFSET(A354,0,FORMULÁRIO!$E$10-1)/OFFSET(A353,0,FORMULÁRIO!$E$10-1),4)-1)+IF(DATE(YEAR(FORMULÁRIO!Q$22),MONTH(FORMULÁRIO!Q$22),1)=TabelaCalculo[[#This Row],[DATA]],M353*(1-DAY(FORMULÁRIO!Q$22))/DAY(EOMONTH(TabelaCalculo[[#This Row],[DATA]],0)),0)+IF(DATE(YEAR(FORMULÁRIO!Q$24),MONTH(FORMULÁRIO!Q$24),1)=TabelaCalculo[[#This Row],[DATA]],M353*(-1+DAY(FORMULÁRIO!Q$24))/DAY(EOMONTH(TabelaCalculo[[#This Row],[DATA]],0)),0))</f>
        <v/>
      </c>
      <c r="H354" s="46"/>
      <c r="I354" s="62">
        <v>287583.35452200001</v>
      </c>
      <c r="J354" s="62">
        <v>25656.504828000001</v>
      </c>
      <c r="K354" s="62">
        <v>287583.35452200001</v>
      </c>
      <c r="L354" s="80"/>
      <c r="M354" s="91"/>
      <c r="N354" s="46"/>
    </row>
    <row r="355" spans="1:14" x14ac:dyDescent="0.25">
      <c r="A355" s="59">
        <v>34090</v>
      </c>
      <c r="B355" s="62"/>
      <c r="C355" s="45"/>
      <c r="D355" s="46">
        <v>175132.7</v>
      </c>
      <c r="F355" s="46"/>
      <c r="G355" s="46" t="str">
        <f ca="1">IF(L354="","",G354+MAX(0,(1+L354)/ROUND(OFFSET(A355,0,FORMULÁRIO!$E$10-1)/OFFSET(A354,0,FORMULÁRIO!$E$10-1),4)-1)+IF(DATE(YEAR(FORMULÁRIO!Q$22),MONTH(FORMULÁRIO!Q$22),1)=TabelaCalculo[[#This Row],[DATA]],M354*(1-DAY(FORMULÁRIO!Q$22))/DAY(EOMONTH(TabelaCalculo[[#This Row],[DATA]],0)),0)+IF(DATE(YEAR(FORMULÁRIO!Q$24),MONTH(FORMULÁRIO!Q$24),1)=TabelaCalculo[[#This Row],[DATA]],M354*(-1+DAY(FORMULÁRIO!Q$24))/DAY(EOMONTH(TabelaCalculo[[#This Row],[DATA]],0)),0))</f>
        <v/>
      </c>
      <c r="H355" s="46"/>
      <c r="I355" s="62">
        <v>369170.75219899998</v>
      </c>
      <c r="J355" s="62">
        <v>32670.993246999999</v>
      </c>
      <c r="K355" s="62">
        <v>369170.75219899998</v>
      </c>
      <c r="L355" s="80"/>
      <c r="M355" s="91"/>
      <c r="N355" s="46"/>
    </row>
    <row r="356" spans="1:14" x14ac:dyDescent="0.25">
      <c r="A356" s="59">
        <v>34121</v>
      </c>
      <c r="B356" s="62"/>
      <c r="C356" s="45"/>
      <c r="D356" s="46">
        <v>221369.13</v>
      </c>
      <c r="F356" s="46"/>
      <c r="G356" s="46" t="str">
        <f ca="1">IF(L355="","",G355+MAX(0,(1+L355)/ROUND(OFFSET(A356,0,FORMULÁRIO!$E$10-1)/OFFSET(A355,0,FORMULÁRIO!$E$10-1),4)-1)+IF(DATE(YEAR(FORMULÁRIO!Q$22),MONTH(FORMULÁRIO!Q$22),1)=TabelaCalculo[[#This Row],[DATA]],M355*(1-DAY(FORMULÁRIO!Q$22))/DAY(EOMONTH(TabelaCalculo[[#This Row],[DATA]],0)),0)+IF(DATE(YEAR(FORMULÁRIO!Q$24),MONTH(FORMULÁRIO!Q$24),1)=TabelaCalculo[[#This Row],[DATA]],M355*(-1+DAY(FORMULÁRIO!Q$24))/DAY(EOMONTH(TabelaCalculo[[#This Row],[DATA]],0)),0))</f>
        <v/>
      </c>
      <c r="H356" s="46"/>
      <c r="I356" s="62">
        <v>468034.67963700002</v>
      </c>
      <c r="J356" s="62">
        <v>42083.506400999999</v>
      </c>
      <c r="K356" s="62">
        <v>468034.67963700002</v>
      </c>
      <c r="L356" s="80"/>
      <c r="M356" s="91"/>
      <c r="N356" s="46"/>
    </row>
    <row r="357" spans="1:14" x14ac:dyDescent="0.25">
      <c r="A357" s="59">
        <v>34151</v>
      </c>
      <c r="B357" s="62"/>
      <c r="C357" s="45"/>
      <c r="D357" s="46">
        <v>287771.46999999997</v>
      </c>
      <c r="F357" s="46"/>
      <c r="G357" s="46" t="str">
        <f ca="1">IF(L356="","",G356+MAX(0,(1+L356)/ROUND(OFFSET(A357,0,FORMULÁRIO!$E$10-1)/OFFSET(A356,0,FORMULÁRIO!$E$10-1),4)-1)+IF(DATE(YEAR(FORMULÁRIO!Q$22),MONTH(FORMULÁRIO!Q$22),1)=TabelaCalculo[[#This Row],[DATA]],M356*(1-DAY(FORMULÁRIO!Q$22))/DAY(EOMONTH(TabelaCalculo[[#This Row],[DATA]],0)),0)+IF(DATE(YEAR(FORMULÁRIO!Q$24),MONTH(FORMULÁRIO!Q$24),1)=TabelaCalculo[[#This Row],[DATA]],M356*(-1+DAY(FORMULÁRIO!Q$24))/DAY(EOMONTH(TabelaCalculo[[#This Row],[DATA]],0)),0))</f>
        <v/>
      </c>
      <c r="H357" s="46"/>
      <c r="I357" s="62">
        <v>610176.811842</v>
      </c>
      <c r="J357" s="62">
        <v>54851.642243000002</v>
      </c>
      <c r="K357" s="62">
        <v>610176.811842</v>
      </c>
      <c r="L357" s="80"/>
      <c r="M357" s="91"/>
      <c r="N357" s="46"/>
    </row>
    <row r="358" spans="1:14" x14ac:dyDescent="0.25">
      <c r="A358" s="59">
        <v>34182</v>
      </c>
      <c r="B358" s="62"/>
      <c r="C358" s="45"/>
      <c r="D358" s="46">
        <v>374.05</v>
      </c>
      <c r="F358" s="46"/>
      <c r="G358" s="46" t="str">
        <f ca="1">IF(L357="","",G357+MAX(0,(1+L357)/ROUND(OFFSET(A358,0,FORMULÁRIO!$E$10-1)/OFFSET(A357,0,FORMULÁRIO!$E$10-1),4)-1)+IF(DATE(YEAR(FORMULÁRIO!Q$22),MONTH(FORMULÁRIO!Q$22),1)=TabelaCalculo[[#This Row],[DATA]],M357*(1-DAY(FORMULÁRIO!Q$22))/DAY(EOMONTH(TabelaCalculo[[#This Row],[DATA]],0)),0)+IF(DATE(YEAR(FORMULÁRIO!Q$24),MONTH(FORMULÁRIO!Q$24),1)=TabelaCalculo[[#This Row],[DATA]],M357*(-1+DAY(FORMULÁRIO!Q$24))/DAY(EOMONTH(TabelaCalculo[[#This Row],[DATA]],0)),0))</f>
        <v/>
      </c>
      <c r="H358" s="46"/>
      <c r="I358" s="62">
        <v>799.39264100000003</v>
      </c>
      <c r="J358" s="62">
        <v>71.674639999999997</v>
      </c>
      <c r="K358" s="62">
        <v>799.39264100000003</v>
      </c>
      <c r="L358" s="80"/>
      <c r="M358" s="91"/>
      <c r="N358" s="46"/>
    </row>
    <row r="359" spans="1:14" x14ac:dyDescent="0.25">
      <c r="A359" s="59">
        <v>34213</v>
      </c>
      <c r="B359" s="62"/>
      <c r="C359" s="45"/>
      <c r="D359" s="46">
        <v>492.3</v>
      </c>
      <c r="F359" s="46"/>
      <c r="G359" s="46" t="str">
        <f ca="1">IF(L358="","",G358+MAX(0,(1+L358)/ROUND(OFFSET(A359,0,FORMULÁRIO!$E$10-1)/OFFSET(A358,0,FORMULÁRIO!$E$10-1),4)-1)+IF(DATE(YEAR(FORMULÁRIO!Q$22),MONTH(FORMULÁRIO!Q$22),1)=TabelaCalculo[[#This Row],[DATA]],M358*(1-DAY(FORMULÁRIO!Q$22))/DAY(EOMONTH(TabelaCalculo[[#This Row],[DATA]],0)),0)+IF(DATE(YEAR(FORMULÁRIO!Q$24),MONTH(FORMULÁRIO!Q$24),1)=TabelaCalculo[[#This Row],[DATA]],M358*(-1+DAY(FORMULÁRIO!Q$24))/DAY(EOMONTH(TabelaCalculo[[#This Row],[DATA]],0)),0))</f>
        <v/>
      </c>
      <c r="H359" s="46"/>
      <c r="I359" s="62">
        <v>1065.9101470000001</v>
      </c>
      <c r="J359" s="62">
        <v>94.603357000000003</v>
      </c>
      <c r="K359" s="62">
        <v>1065.9101470000001</v>
      </c>
      <c r="L359" s="80"/>
      <c r="M359" s="91"/>
      <c r="N359" s="46"/>
    </row>
    <row r="360" spans="1:14" x14ac:dyDescent="0.25">
      <c r="A360" s="59">
        <v>34243</v>
      </c>
      <c r="B360" s="62"/>
      <c r="C360" s="45"/>
      <c r="D360" s="46">
        <v>652.91999999999996</v>
      </c>
      <c r="F360" s="46"/>
      <c r="G360" s="46" t="str">
        <f ca="1">IF(L359="","",G359+MAX(0,(1+L359)/ROUND(OFFSET(A360,0,FORMULÁRIO!$E$10-1)/OFFSET(A359,0,FORMULÁRIO!$E$10-1),4)-1)+IF(DATE(YEAR(FORMULÁRIO!Q$22),MONTH(FORMULÁRIO!Q$22),1)=TabelaCalculo[[#This Row],[DATA]],M359*(1-DAY(FORMULÁRIO!Q$22))/DAY(EOMONTH(TabelaCalculo[[#This Row],[DATA]],0)),0)+IF(DATE(YEAR(FORMULÁRIO!Q$24),MONTH(FORMULÁRIO!Q$24),1)=TabelaCalculo[[#This Row],[DATA]],M359*(-1+DAY(FORMULÁRIO!Q$24))/DAY(EOMONTH(TabelaCalculo[[#This Row],[DATA]],0)),0))</f>
        <v/>
      </c>
      <c r="H360" s="46"/>
      <c r="I360" s="62">
        <v>1445.6939319999999</v>
      </c>
      <c r="J360" s="62">
        <v>127.12799099999999</v>
      </c>
      <c r="K360" s="62">
        <v>1445.6939319999999</v>
      </c>
      <c r="L360" s="80"/>
      <c r="M360" s="91"/>
      <c r="N360" s="46"/>
    </row>
    <row r="361" spans="1:14" x14ac:dyDescent="0.25">
      <c r="A361" s="59">
        <v>34274</v>
      </c>
      <c r="B361" s="62"/>
      <c r="C361" s="45"/>
      <c r="D361" s="46">
        <v>875.98</v>
      </c>
      <c r="F361" s="46"/>
      <c r="G361" s="46" t="str">
        <f ca="1">IF(L360="","",G360+MAX(0,(1+L360)/ROUND(OFFSET(A361,0,FORMULÁRIO!$E$10-1)/OFFSET(A360,0,FORMULÁRIO!$E$10-1),4)-1)+IF(DATE(YEAR(FORMULÁRIO!Q$22),MONTH(FORMULÁRIO!Q$22),1)=TabelaCalculo[[#This Row],[DATA]],M360*(1-DAY(FORMULÁRIO!Q$22))/DAY(EOMONTH(TabelaCalculo[[#This Row],[DATA]],0)),0)+IF(DATE(YEAR(FORMULÁRIO!Q$24),MONTH(FORMULÁRIO!Q$24),1)=TabelaCalculo[[#This Row],[DATA]],M360*(-1+DAY(FORMULÁRIO!Q$24))/DAY(EOMONTH(TabelaCalculo[[#This Row],[DATA]],0)),0))</f>
        <v/>
      </c>
      <c r="H361" s="46"/>
      <c r="I361" s="62">
        <v>1938.9647010000001</v>
      </c>
      <c r="J361" s="62">
        <v>171.83890500000001</v>
      </c>
      <c r="K361" s="62">
        <v>1938.9647010000001</v>
      </c>
      <c r="L361" s="80"/>
      <c r="M361" s="91"/>
      <c r="N361" s="46"/>
    </row>
    <row r="362" spans="1:14" x14ac:dyDescent="0.25">
      <c r="A362" s="59">
        <v>34304</v>
      </c>
      <c r="B362" s="62"/>
      <c r="C362" s="45"/>
      <c r="D362" s="46">
        <v>1206.07</v>
      </c>
      <c r="F362" s="46"/>
      <c r="G362" s="46" t="str">
        <f ca="1">IF(L361="","",G361+MAX(0,(1+L361)/ROUND(OFFSET(A362,0,FORMULÁRIO!$E$10-1)/OFFSET(A361,0,FORMULÁRIO!$E$10-1),4)-1)+IF(DATE(YEAR(FORMULÁRIO!Q$22),MONTH(FORMULÁRIO!Q$22),1)=TabelaCalculo[[#This Row],[DATA]],M361*(1-DAY(FORMULÁRIO!Q$22))/DAY(EOMONTH(TabelaCalculo[[#This Row],[DATA]],0)),0)+IF(DATE(YEAR(FORMULÁRIO!Q$24),MONTH(FORMULÁRIO!Q$24),1)=TabelaCalculo[[#This Row],[DATA]],M361*(-1+DAY(FORMULÁRIO!Q$24))/DAY(EOMONTH(TabelaCalculo[[#This Row],[DATA]],0)),0))</f>
        <v/>
      </c>
      <c r="H362" s="46"/>
      <c r="I362" s="62">
        <v>2636.9919930000001</v>
      </c>
      <c r="J362" s="62">
        <v>230.09229300000001</v>
      </c>
      <c r="K362" s="62">
        <v>2636.9919930000001</v>
      </c>
      <c r="L362" s="80"/>
      <c r="M362" s="91"/>
      <c r="N362" s="46"/>
    </row>
    <row r="363" spans="1:14" x14ac:dyDescent="0.25">
      <c r="A363" s="59">
        <v>34335</v>
      </c>
      <c r="B363" s="62"/>
      <c r="C363" s="46"/>
      <c r="D363" s="46">
        <v>1652.51</v>
      </c>
      <c r="F363" s="46"/>
      <c r="G363" s="46" t="str">
        <f ca="1">IF(L362="","",G362+MAX(0,(1+L362)/ROUND(OFFSET(A363,0,FORMULÁRIO!$E$10-1)/OFFSET(A362,0,FORMULÁRIO!$E$10-1),4)-1)+IF(DATE(YEAR(FORMULÁRIO!Q$22),MONTH(FORMULÁRIO!Q$22),1)=TabelaCalculo[[#This Row],[DATA]],M362*(1-DAY(FORMULÁRIO!Q$22))/DAY(EOMONTH(TabelaCalculo[[#This Row],[DATA]],0)),0)+IF(DATE(YEAR(FORMULÁRIO!Q$24),MONTH(FORMULÁRIO!Q$24),1)=TabelaCalculo[[#This Row],[DATA]],M362*(-1+DAY(FORMULÁRIO!Q$24))/DAY(EOMONTH(TabelaCalculo[[#This Row],[DATA]],0)),0))</f>
        <v/>
      </c>
      <c r="H363" s="46"/>
      <c r="I363" s="62">
        <v>3631.929071</v>
      </c>
      <c r="J363" s="62">
        <v>314.51315499999998</v>
      </c>
      <c r="K363" s="62">
        <v>3631.929071</v>
      </c>
      <c r="L363" s="80"/>
      <c r="M363" s="91"/>
      <c r="N363" s="46"/>
    </row>
    <row r="364" spans="1:14" x14ac:dyDescent="0.25">
      <c r="A364" s="59">
        <v>34366</v>
      </c>
      <c r="B364" s="62"/>
      <c r="C364" s="46"/>
      <c r="D364" s="46">
        <v>2259.62</v>
      </c>
      <c r="F364" s="46"/>
      <c r="G364" s="46" t="str">
        <f ca="1">IF(L363="","",G363+MAX(0,(1+L363)/ROUND(OFFSET(A364,0,FORMULÁRIO!$E$10-1)/OFFSET(A363,0,FORMULÁRIO!$E$10-1),4)-1)+IF(DATE(YEAR(FORMULÁRIO!Q$22),MONTH(FORMULÁRIO!Q$22),1)=TabelaCalculo[[#This Row],[DATA]],M363*(1-DAY(FORMULÁRIO!Q$22))/DAY(EOMONTH(TabelaCalculo[[#This Row],[DATA]],0)),0)+IF(DATE(YEAR(FORMULÁRIO!Q$24),MONTH(FORMULÁRIO!Q$24),1)=TabelaCalculo[[#This Row],[DATA]],M363*(-1+DAY(FORMULÁRIO!Q$24))/DAY(EOMONTH(TabelaCalculo[[#This Row],[DATA]],0)),0))</f>
        <v/>
      </c>
      <c r="H364" s="46"/>
      <c r="I364" s="62">
        <v>5132.6421630000004</v>
      </c>
      <c r="J364" s="62">
        <v>437.70795700000002</v>
      </c>
      <c r="K364" s="62">
        <v>5132.6421630000004</v>
      </c>
      <c r="L364" s="80"/>
      <c r="M364" s="91"/>
      <c r="N364" s="46"/>
    </row>
    <row r="365" spans="1:14" x14ac:dyDescent="0.25">
      <c r="A365" s="59">
        <v>34394</v>
      </c>
      <c r="B365" s="62"/>
      <c r="C365" s="46"/>
      <c r="D365" s="46">
        <v>3068.47</v>
      </c>
      <c r="F365" s="46"/>
      <c r="G365" s="46" t="str">
        <f ca="1">IF(L364="","",G364+MAX(0,(1+L364)/ROUND(OFFSET(A365,0,FORMULÁRIO!$E$10-1)/OFFSET(A364,0,FORMULÁRIO!$E$10-1),4)-1)+IF(DATE(YEAR(FORMULÁRIO!Q$22),MONTH(FORMULÁRIO!Q$22),1)=TabelaCalculo[[#This Row],[DATA]],M364*(1-DAY(FORMULÁRIO!Q$22))/DAY(EOMONTH(TabelaCalculo[[#This Row],[DATA]],0)),0)+IF(DATE(YEAR(FORMULÁRIO!Q$24),MONTH(FORMULÁRIO!Q$24),1)=TabelaCalculo[[#This Row],[DATA]],M364*(-1+DAY(FORMULÁRIO!Q$24))/DAY(EOMONTH(TabelaCalculo[[#This Row],[DATA]],0)),0))</f>
        <v/>
      </c>
      <c r="H365" s="46"/>
      <c r="I365" s="62">
        <v>7214.9550879999997</v>
      </c>
      <c r="J365" s="62">
        <v>611.47801500000003</v>
      </c>
      <c r="K365" s="62">
        <v>7214.9550879999997</v>
      </c>
      <c r="L365" s="80"/>
      <c r="M365" s="91"/>
      <c r="N365" s="46"/>
    </row>
    <row r="366" spans="1:14" x14ac:dyDescent="0.25">
      <c r="A366" s="59">
        <v>34425</v>
      </c>
      <c r="B366" s="62"/>
      <c r="C366" s="46"/>
      <c r="D366" s="46">
        <v>4391.91</v>
      </c>
      <c r="F366" s="46"/>
      <c r="G366" s="46" t="str">
        <f ca="1">IF(L365="","",G365+MAX(0,(1+L365)/ROUND(OFFSET(A366,0,FORMULÁRIO!$E$10-1)/OFFSET(A365,0,FORMULÁRIO!$E$10-1),4)-1)+IF(DATE(YEAR(FORMULÁRIO!Q$22),MONTH(FORMULÁRIO!Q$22),1)=TabelaCalculo[[#This Row],[DATA]],M365*(1-DAY(FORMULÁRIO!Q$22))/DAY(EOMONTH(TabelaCalculo[[#This Row],[DATA]],0)),0)+IF(DATE(YEAR(FORMULÁRIO!Q$24),MONTH(FORMULÁRIO!Q$24),1)=TabelaCalculo[[#This Row],[DATA]],M365*(-1+DAY(FORMULÁRIO!Q$24))/DAY(EOMONTH(TabelaCalculo[[#This Row],[DATA]],0)),0))</f>
        <v/>
      </c>
      <c r="H366" s="46"/>
      <c r="I366" s="62">
        <v>10323.157739</v>
      </c>
      <c r="J366" s="62">
        <v>878.26587199999994</v>
      </c>
      <c r="K366" s="62">
        <v>10323.157739</v>
      </c>
      <c r="L366" s="80"/>
      <c r="M366" s="91"/>
      <c r="N366" s="46"/>
    </row>
    <row r="367" spans="1:14" x14ac:dyDescent="0.25">
      <c r="A367" s="59">
        <v>34455</v>
      </c>
      <c r="B367" s="62"/>
      <c r="C367" s="46"/>
      <c r="D367" s="46">
        <v>6356.85</v>
      </c>
      <c r="F367" s="46"/>
      <c r="G367" s="46" t="str">
        <f ca="1">IF(L366="","",G366+MAX(0,(1+L366)/ROUND(OFFSET(A367,0,FORMULÁRIO!$E$10-1)/OFFSET(A366,0,FORMULÁRIO!$E$10-1),4)-1)+IF(DATE(YEAR(FORMULÁRIO!Q$22),MONTH(FORMULÁRIO!Q$22),1)=TabelaCalculo[[#This Row],[DATA]],M366*(1-DAY(FORMULÁRIO!Q$22))/DAY(EOMONTH(TabelaCalculo[[#This Row],[DATA]],0)),0)+IF(DATE(YEAR(FORMULÁRIO!Q$24),MONTH(FORMULÁRIO!Q$24),1)=TabelaCalculo[[#This Row],[DATA]],M366*(-1+DAY(FORMULÁRIO!Q$24))/DAY(EOMONTH(TabelaCalculo[[#This Row],[DATA]],0)),0))</f>
        <v/>
      </c>
      <c r="H367" s="46"/>
      <c r="I367" s="62">
        <v>14747.663145</v>
      </c>
      <c r="J367" s="62">
        <v>1240.5505439999999</v>
      </c>
      <c r="K367" s="62">
        <v>14747.663145</v>
      </c>
      <c r="L367" s="80"/>
      <c r="M367" s="91"/>
      <c r="N367" s="46"/>
    </row>
    <row r="368" spans="1:14" x14ac:dyDescent="0.25">
      <c r="A368" s="59">
        <v>34486</v>
      </c>
      <c r="B368" s="62"/>
      <c r="C368" s="46"/>
      <c r="D368" s="46">
        <v>9356.36</v>
      </c>
      <c r="F368" s="46"/>
      <c r="G368" s="46" t="str">
        <f ca="1">IF(L367="","",G367+MAX(0,(1+L367)/ROUND(OFFSET(A368,0,FORMULÁRIO!$E$10-1)/OFFSET(A367,0,FORMULÁRIO!$E$10-1),4)-1)+IF(DATE(YEAR(FORMULÁRIO!Q$22),MONTH(FORMULÁRIO!Q$22),1)=TabelaCalculo[[#This Row],[DATA]],M367*(1-DAY(FORMULÁRIO!Q$22))/DAY(EOMONTH(TabelaCalculo[[#This Row],[DATA]],0)),0)+IF(DATE(YEAR(FORMULÁRIO!Q$24),MONTH(FORMULÁRIO!Q$24),1)=TabelaCalculo[[#This Row],[DATA]],M367*(-1+DAY(FORMULÁRIO!Q$24))/DAY(EOMONTH(TabelaCalculo[[#This Row],[DATA]],0)),0))</f>
        <v/>
      </c>
      <c r="H368" s="46"/>
      <c r="I368" s="62">
        <v>21049.339606000001</v>
      </c>
      <c r="J368" s="62">
        <v>1788.9979390000001</v>
      </c>
      <c r="K368" s="62">
        <v>21049.339606000001</v>
      </c>
      <c r="L368" s="80"/>
      <c r="M368" s="91"/>
      <c r="N368" s="46"/>
    </row>
    <row r="369" spans="1:14" x14ac:dyDescent="0.25">
      <c r="A369" s="59">
        <v>34516</v>
      </c>
      <c r="B369" s="62"/>
      <c r="C369" s="45"/>
      <c r="D369" s="46">
        <v>5.01</v>
      </c>
      <c r="F369" s="46"/>
      <c r="G369" s="46" t="str">
        <f ca="1">IF(L368="","",G368+MAX(0,(1+L368)/ROUND(OFFSET(A369,0,FORMULÁRIO!$E$10-1)/OFFSET(A368,0,FORMULÁRIO!$E$10-1),4)-1)+IF(DATE(YEAR(FORMULÁRIO!Q$22),MONTH(FORMULÁRIO!Q$22),1)=TabelaCalculo[[#This Row],[DATA]],M368*(1-DAY(FORMULÁRIO!Q$22))/DAY(EOMONTH(TabelaCalculo[[#This Row],[DATA]],0)),0)+IF(DATE(YEAR(FORMULÁRIO!Q$24),MONTH(FORMULÁRIO!Q$24),1)=TabelaCalculo[[#This Row],[DATA]],M368*(-1+DAY(FORMULÁRIO!Q$24))/DAY(EOMONTH(TabelaCalculo[[#This Row],[DATA]],0)),0))</f>
        <v/>
      </c>
      <c r="H369" s="46"/>
      <c r="I369" s="62">
        <v>11.346741</v>
      </c>
      <c r="J369" s="62">
        <v>0.94101199999999996</v>
      </c>
      <c r="K369" s="62">
        <v>11.346741</v>
      </c>
      <c r="L369" s="80"/>
      <c r="M369" s="91"/>
      <c r="N369" s="46"/>
    </row>
    <row r="370" spans="1:14" x14ac:dyDescent="0.25">
      <c r="A370" s="59">
        <v>34547</v>
      </c>
      <c r="B370" s="62"/>
      <c r="C370" s="45"/>
      <c r="D370" s="46">
        <v>5.19</v>
      </c>
      <c r="F370" s="46"/>
      <c r="G370" s="46" t="str">
        <f ca="1">IF(L369="","",G369+MAX(0,(1+L369)/ROUND(OFFSET(A370,0,FORMULÁRIO!$E$10-1)/OFFSET(A369,0,FORMULÁRIO!$E$10-1),4)-1)+IF(DATE(YEAR(FORMULÁRIO!Q$22),MONTH(FORMULÁRIO!Q$22),1)=TabelaCalculo[[#This Row],[DATA]],M369*(1-DAY(FORMULÁRIO!Q$22))/DAY(EOMONTH(TabelaCalculo[[#This Row],[DATA]],0)),0)+IF(DATE(YEAR(FORMULÁRIO!Q$24),MONTH(FORMULÁRIO!Q$24),1)=TabelaCalculo[[#This Row],[DATA]],M369*(-1+DAY(FORMULÁRIO!Q$24))/DAY(EOMONTH(TabelaCalculo[[#This Row],[DATA]],0)),0))</f>
        <v/>
      </c>
      <c r="H370" s="46"/>
      <c r="I370" s="62">
        <v>12.036621999999999</v>
      </c>
      <c r="J370" s="62">
        <v>0.99003799999999997</v>
      </c>
      <c r="K370" s="62">
        <v>12.036621999999999</v>
      </c>
      <c r="L370" s="80"/>
      <c r="M370" s="91"/>
      <c r="N370" s="46"/>
    </row>
    <row r="371" spans="1:14" x14ac:dyDescent="0.25">
      <c r="A371" s="59">
        <v>34578</v>
      </c>
      <c r="B371" s="62"/>
      <c r="C371" s="45"/>
      <c r="D371" s="46">
        <v>5.4</v>
      </c>
      <c r="F371" s="46"/>
      <c r="G371" s="46" t="str">
        <f ca="1">IF(L370="","",G370+MAX(0,(1+L370)/ROUND(OFFSET(A371,0,FORMULÁRIO!$E$10-1)/OFFSET(A370,0,FORMULÁRIO!$E$10-1),4)-1)+IF(DATE(YEAR(FORMULÁRIO!Q$22),MONTH(FORMULÁRIO!Q$22),1)=TabelaCalculo[[#This Row],[DATA]],M370*(1-DAY(FORMULÁRIO!Q$22))/DAY(EOMONTH(TabelaCalculo[[#This Row],[DATA]],0)),0)+IF(DATE(YEAR(FORMULÁRIO!Q$24),MONTH(FORMULÁRIO!Q$24),1)=TabelaCalculo[[#This Row],[DATA]],M370*(-1+DAY(FORMULÁRIO!Q$24))/DAY(EOMONTH(TabelaCalculo[[#This Row],[DATA]],0)),0))</f>
        <v/>
      </c>
      <c r="H371" s="46"/>
      <c r="I371" s="62">
        <v>12.693821</v>
      </c>
      <c r="J371" s="62">
        <v>1.039539</v>
      </c>
      <c r="K371" s="62">
        <v>12.693821</v>
      </c>
      <c r="L371" s="80"/>
      <c r="M371" s="91"/>
      <c r="N371" s="46"/>
    </row>
    <row r="372" spans="1:14" x14ac:dyDescent="0.25">
      <c r="A372" s="59">
        <v>34608</v>
      </c>
      <c r="B372" s="62"/>
      <c r="C372" s="45"/>
      <c r="D372" s="46">
        <v>5.49</v>
      </c>
      <c r="F372" s="46"/>
      <c r="G372" s="46" t="str">
        <f ca="1">IF(L371="","",G371+MAX(0,(1+L371)/ROUND(OFFSET(A372,0,FORMULÁRIO!$E$10-1)/OFFSET(A371,0,FORMULÁRIO!$E$10-1),4)-1)+IF(DATE(YEAR(FORMULÁRIO!Q$22),MONTH(FORMULÁRIO!Q$22),1)=TabelaCalculo[[#This Row],[DATA]],M371*(1-DAY(FORMULÁRIO!Q$22))/DAY(EOMONTH(TabelaCalculo[[#This Row],[DATA]],0)),0)+IF(DATE(YEAR(FORMULÁRIO!Q$24),MONTH(FORMULÁRIO!Q$24),1)=TabelaCalculo[[#This Row],[DATA]],M371*(-1+DAY(FORMULÁRIO!Q$24))/DAY(EOMONTH(TabelaCalculo[[#This Row],[DATA]],0)),0))</f>
        <v/>
      </c>
      <c r="H372" s="46"/>
      <c r="I372" s="62">
        <v>12.885497000000001</v>
      </c>
      <c r="J372" s="62">
        <v>1.0564830000000001</v>
      </c>
      <c r="K372" s="62">
        <v>12.885497000000001</v>
      </c>
      <c r="L372" s="80"/>
      <c r="M372" s="91"/>
      <c r="N372" s="46"/>
    </row>
    <row r="373" spans="1:14" x14ac:dyDescent="0.25">
      <c r="A373" s="59">
        <v>34639</v>
      </c>
      <c r="B373" s="62"/>
      <c r="C373" s="45"/>
      <c r="D373" s="46">
        <v>5.59</v>
      </c>
      <c r="F373" s="46"/>
      <c r="G373" s="46" t="str">
        <f ca="1">IF(L372="","",G372+MAX(0,(1+L372)/ROUND(OFFSET(A373,0,FORMULÁRIO!$E$10-1)/OFFSET(A372,0,FORMULÁRIO!$E$10-1),4)-1)+IF(DATE(YEAR(FORMULÁRIO!Q$22),MONTH(FORMULÁRIO!Q$22),1)=TabelaCalculo[[#This Row],[DATA]],M372*(1-DAY(FORMULÁRIO!Q$22))/DAY(EOMONTH(TabelaCalculo[[#This Row],[DATA]],0)),0)+IF(DATE(YEAR(FORMULÁRIO!Q$24),MONTH(FORMULÁRIO!Q$24),1)=TabelaCalculo[[#This Row],[DATA]],M372*(-1+DAY(FORMULÁRIO!Q$24))/DAY(EOMONTH(TabelaCalculo[[#This Row],[DATA]],0)),0))</f>
        <v/>
      </c>
      <c r="H373" s="46"/>
      <c r="I373" s="62">
        <v>13.125166999999999</v>
      </c>
      <c r="J373" s="62">
        <v>1.0765560000000001</v>
      </c>
      <c r="K373" s="62">
        <v>13.125166999999999</v>
      </c>
      <c r="L373" s="80"/>
      <c r="M373" s="91"/>
      <c r="N373" s="46"/>
    </row>
    <row r="374" spans="1:14" x14ac:dyDescent="0.25">
      <c r="A374" s="59">
        <v>34669</v>
      </c>
      <c r="B374" s="62"/>
      <c r="C374" s="45"/>
      <c r="D374" s="46">
        <v>5.76</v>
      </c>
      <c r="F374" s="46"/>
      <c r="G374" s="46" t="str">
        <f ca="1">IF(L373="","",G373+MAX(0,(1+L373)/ROUND(OFFSET(A374,0,FORMULÁRIO!$E$10-1)/OFFSET(A373,0,FORMULÁRIO!$E$10-1),4)-1)+IF(DATE(YEAR(FORMULÁRIO!Q$22),MONTH(FORMULÁRIO!Q$22),1)=TabelaCalculo[[#This Row],[DATA]],M373*(1-DAY(FORMULÁRIO!Q$22))/DAY(EOMONTH(TabelaCalculo[[#This Row],[DATA]],0)),0)+IF(DATE(YEAR(FORMULÁRIO!Q$24),MONTH(FORMULÁRIO!Q$24),1)=TabelaCalculo[[#This Row],[DATA]],M373*(-1+DAY(FORMULÁRIO!Q$24))/DAY(EOMONTH(TabelaCalculo[[#This Row],[DATA]],0)),0))</f>
        <v/>
      </c>
      <c r="H374" s="46"/>
      <c r="I374" s="62">
        <v>13.554359</v>
      </c>
      <c r="J374" s="62">
        <v>1.108314</v>
      </c>
      <c r="K374" s="62">
        <v>13.554359</v>
      </c>
      <c r="L374" s="80"/>
      <c r="M374" s="91"/>
      <c r="N374" s="46"/>
    </row>
    <row r="375" spans="1:14" x14ac:dyDescent="0.25">
      <c r="A375" s="59">
        <v>34700</v>
      </c>
      <c r="B375" s="62"/>
      <c r="C375" s="45"/>
      <c r="D375" s="46">
        <v>5.89</v>
      </c>
      <c r="F375" s="46"/>
      <c r="G375" s="46" t="str">
        <f ca="1">IF(L374="","",G374+MAX(0,(1+L374)/ROUND(OFFSET(A375,0,FORMULÁRIO!$E$10-1)/OFFSET(A374,0,FORMULÁRIO!$E$10-1),4)-1)+IF(DATE(YEAR(FORMULÁRIO!Q$22),MONTH(FORMULÁRIO!Q$22),1)=TabelaCalculo[[#This Row],[DATA]],M374*(1-DAY(FORMULÁRIO!Q$22))/DAY(EOMONTH(TabelaCalculo[[#This Row],[DATA]],0)),0)+IF(DATE(YEAR(FORMULÁRIO!Q$24),MONTH(FORMULÁRIO!Q$24),1)=TabelaCalculo[[#This Row],[DATA]],M374*(-1+DAY(FORMULÁRIO!Q$24))/DAY(EOMONTH(TabelaCalculo[[#This Row],[DATA]],0)),0))</f>
        <v/>
      </c>
      <c r="H375" s="46"/>
      <c r="I375" s="62">
        <v>13.851198999999999</v>
      </c>
      <c r="J375" s="62">
        <v>1.133251</v>
      </c>
      <c r="K375" s="62">
        <v>13.851198999999999</v>
      </c>
      <c r="L375" s="80"/>
      <c r="M375" s="91"/>
      <c r="N375" s="46"/>
    </row>
    <row r="376" spans="1:14" x14ac:dyDescent="0.25">
      <c r="A376" s="59">
        <v>34731</v>
      </c>
      <c r="B376" s="62"/>
      <c r="C376" s="45"/>
      <c r="D376" s="46">
        <v>5.89</v>
      </c>
      <c r="F376" s="57"/>
      <c r="G376" s="46" t="str">
        <f ca="1">IF(L375="","",G375+MAX(0,(1+L375)/ROUND(OFFSET(A376,0,FORMULÁRIO!$E$10-1)/OFFSET(A375,0,FORMULÁRIO!$E$10-1),4)-1)+IF(DATE(YEAR(FORMULÁRIO!Q$22),MONTH(FORMULÁRIO!Q$22),1)=TabelaCalculo[[#This Row],[DATA]],M375*(1-DAY(FORMULÁRIO!Q$22))/DAY(EOMONTH(TabelaCalculo[[#This Row],[DATA]],0)),0)+IF(DATE(YEAR(FORMULÁRIO!Q$24),MONTH(FORMULÁRIO!Q$24),1)=TabelaCalculo[[#This Row],[DATA]],M375*(-1+DAY(FORMULÁRIO!Q$24))/DAY(EOMONTH(TabelaCalculo[[#This Row],[DATA]],0)),0))</f>
        <v/>
      </c>
      <c r="H376" s="46"/>
      <c r="I376" s="62">
        <v>14.082514</v>
      </c>
      <c r="J376" s="62">
        <v>1.1534219999999999</v>
      </c>
      <c r="K376" s="62">
        <v>14.082514</v>
      </c>
      <c r="L376" s="80">
        <v>3.6299999999999999E-2</v>
      </c>
      <c r="M376" s="91">
        <f ca="1">MAX(0,-1+ROUND((1+L375)/ROUND(OFFSET(A376,0,FORMULÁRIO!$E$10-1)/OFFSET(A375,0,FORMULÁRIO!$E$10-1),4),8))</f>
        <v>0</v>
      </c>
      <c r="N376" s="46"/>
    </row>
    <row r="377" spans="1:14" x14ac:dyDescent="0.25">
      <c r="A377" s="59">
        <v>34759</v>
      </c>
      <c r="B377" s="62"/>
      <c r="C377" s="45"/>
      <c r="D377" s="46">
        <v>5.89</v>
      </c>
      <c r="E377" s="78">
        <v>3.6299999999999999E-2</v>
      </c>
      <c r="F377" s="57">
        <v>3.6299999999999999E-2</v>
      </c>
      <c r="G377" s="69"/>
      <c r="H377" s="46">
        <v>0.01</v>
      </c>
      <c r="I377" s="62">
        <v>14.22193</v>
      </c>
      <c r="J377" s="62">
        <v>1.1674929999999999</v>
      </c>
      <c r="K377" s="62">
        <v>14.22193</v>
      </c>
      <c r="L377" s="80">
        <v>2.6000000000000002E-2</v>
      </c>
      <c r="M377" s="91">
        <f ca="1">MAX(0,-1+ROUND((1+L376)/ROUND(OFFSET(A377,0,FORMULÁRIO!$E$10-1)/OFFSET(A376,0,FORMULÁRIO!$E$10-1),4),8))</f>
        <v>2.6141200000000087E-2</v>
      </c>
      <c r="N377" s="46"/>
    </row>
    <row r="378" spans="1:14" x14ac:dyDescent="0.25">
      <c r="A378" s="59">
        <v>34790</v>
      </c>
      <c r="B378" s="62"/>
      <c r="C378" s="45"/>
      <c r="D378" s="46">
        <v>6.14</v>
      </c>
      <c r="E378" s="78">
        <v>2.6000000000000002E-2</v>
      </c>
      <c r="F378" s="57">
        <f>TabelaCalculo[[#This Row],[SELIC]]+F377</f>
        <v>6.2300000000000001E-2</v>
      </c>
      <c r="G378" s="69">
        <f ca="1">IF(L377="","",G377+TabelaCalculo[[#This Row],[BACEN-SÉRIE 29543]])</f>
        <v>1.173453999999996E-2</v>
      </c>
      <c r="H378" s="46">
        <v>0.02</v>
      </c>
      <c r="I378" s="62">
        <v>14.422459</v>
      </c>
      <c r="J378" s="62">
        <v>1.182436</v>
      </c>
      <c r="K378" s="62">
        <v>14.422459</v>
      </c>
      <c r="L378" s="80">
        <v>4.2599999999999992E-2</v>
      </c>
      <c r="M378" s="91">
        <f ca="1">MAX(0,-1+ROUND((1+L377)/ROUND(OFFSET(A378,0,FORMULÁRIO!$E$10-1)/OFFSET(A377,0,FORMULÁRIO!$E$10-1),4),8))</f>
        <v>1.173453999999996E-2</v>
      </c>
      <c r="N378" s="46"/>
    </row>
    <row r="379" spans="1:14" x14ac:dyDescent="0.25">
      <c r="A379" s="59">
        <v>34820</v>
      </c>
      <c r="B379" s="62"/>
      <c r="C379" s="45"/>
      <c r="D379" s="46">
        <v>6.14</v>
      </c>
      <c r="E379" s="78">
        <v>4.2599999999999992E-2</v>
      </c>
      <c r="F379" s="57">
        <f>TabelaCalculo[[#This Row],[SELIC]]+F378</f>
        <v>0.10489999999999999</v>
      </c>
      <c r="G379" s="69">
        <f ca="1">IF(L378="","",G378+TabelaCalculo[[#This Row],[BACEN-SÉRIE 29543]])</f>
        <v>3.4693719999999928E-2</v>
      </c>
      <c r="H379" s="46">
        <v>0.03</v>
      </c>
      <c r="I379" s="62">
        <v>14.69937</v>
      </c>
      <c r="J379" s="62">
        <v>1.2054929999999999</v>
      </c>
      <c r="K379" s="62">
        <v>14.69937</v>
      </c>
      <c r="L379" s="80">
        <v>4.250000000000001E-2</v>
      </c>
      <c r="M379" s="91">
        <f ca="1">MAX(0,-1+ROUND((1+L378)/ROUND(OFFSET(A379,0,FORMULÁRIO!$E$10-1)/OFFSET(A378,0,FORMULÁRIO!$E$10-1),4),8))</f>
        <v>2.2959179999999968E-2</v>
      </c>
      <c r="N379" s="46"/>
    </row>
    <row r="380" spans="1:14" x14ac:dyDescent="0.25">
      <c r="A380" s="59">
        <v>34851</v>
      </c>
      <c r="B380" s="62"/>
      <c r="C380" s="45"/>
      <c r="D380" s="46">
        <v>6.14</v>
      </c>
      <c r="E380" s="78">
        <v>4.250000000000001E-2</v>
      </c>
      <c r="F380" s="57">
        <f>TabelaCalculo[[#This Row],[SELIC]]+F379</f>
        <v>0.1474</v>
      </c>
      <c r="G380" s="69">
        <f ca="1">IF(L379="","",G379+TabelaCalculo[[#This Row],[BACEN-SÉRIE 29543]])</f>
        <v>5.1072779999999929E-2</v>
      </c>
      <c r="H380" s="46">
        <v>0.04</v>
      </c>
      <c r="I380" s="62">
        <v>15.077143</v>
      </c>
      <c r="J380" s="62">
        <v>1.238885</v>
      </c>
      <c r="K380" s="62">
        <v>15.077143</v>
      </c>
      <c r="L380" s="80">
        <v>4.0399999999999991E-2</v>
      </c>
      <c r="M380" s="91">
        <f ca="1">MAX(0,-1+ROUND((1+L379)/ROUND(OFFSET(A380,0,FORMULÁRIO!$E$10-1)/OFFSET(A379,0,FORMULÁRIO!$E$10-1),4),8))</f>
        <v>1.6379060000000001E-2</v>
      </c>
      <c r="N380" s="46"/>
    </row>
    <row r="381" spans="1:14" x14ac:dyDescent="0.25">
      <c r="A381" s="59">
        <v>34881</v>
      </c>
      <c r="B381" s="62"/>
      <c r="C381" s="45"/>
      <c r="D381" s="46">
        <v>6.58</v>
      </c>
      <c r="E381" s="78">
        <v>4.0399999999999991E-2</v>
      </c>
      <c r="F381" s="57">
        <f>TabelaCalculo[[#This Row],[SELIC]]+F380</f>
        <v>0.18779999999999999</v>
      </c>
      <c r="G381" s="69">
        <f ca="1">IF(L380="","",G380+TabelaCalculo[[#This Row],[BACEN-SÉRIE 29543]])</f>
        <v>7.2875959999999962E-2</v>
      </c>
      <c r="H381" s="46">
        <v>0.05</v>
      </c>
      <c r="I381" s="62">
        <v>15.351547</v>
      </c>
      <c r="J381" s="62">
        <v>1.266759</v>
      </c>
      <c r="K381" s="62">
        <v>15.351547</v>
      </c>
      <c r="L381" s="80">
        <v>4.0200000000000014E-2</v>
      </c>
      <c r="M381" s="91">
        <f ca="1">MAX(0,-1+ROUND((1+L380)/ROUND(OFFSET(A381,0,FORMULÁRIO!$E$10-1)/OFFSET(A380,0,FORMULÁRIO!$E$10-1),4),8))</f>
        <v>2.1803180000000033E-2</v>
      </c>
      <c r="N381" s="46"/>
    </row>
    <row r="382" spans="1:14" x14ac:dyDescent="0.25">
      <c r="A382" s="59">
        <v>34912</v>
      </c>
      <c r="B382" s="62"/>
      <c r="C382" s="45"/>
      <c r="D382" s="46">
        <v>6.58</v>
      </c>
      <c r="E382" s="78">
        <v>4.0200000000000014E-2</v>
      </c>
      <c r="F382" s="57">
        <f>TabelaCalculo[[#This Row],[SELIC]]+F381</f>
        <v>0.22800000000000001</v>
      </c>
      <c r="G382" s="69">
        <f ca="1">IF(L381="","",G381+TabelaCalculo[[#This Row],[BACEN-SÉRIE 29543]])</f>
        <v>8.8101409999999936E-2</v>
      </c>
      <c r="H382" s="46">
        <v>0.06</v>
      </c>
      <c r="I382" s="62">
        <v>15.729195000000001</v>
      </c>
      <c r="J382" s="62">
        <v>1.2995680000000001</v>
      </c>
      <c r="K382" s="62">
        <v>15.729195000000001</v>
      </c>
      <c r="L382" s="80">
        <v>3.8400000000000017E-2</v>
      </c>
      <c r="M382" s="91">
        <f ca="1">MAX(0,-1+ROUND((1+L381)/ROUND(OFFSET(A382,0,FORMULÁRIO!$E$10-1)/OFFSET(A381,0,FORMULÁRIO!$E$10-1),4),8))</f>
        <v>1.5225449999999974E-2</v>
      </c>
      <c r="N382" s="46"/>
    </row>
    <row r="383" spans="1:14" x14ac:dyDescent="0.25">
      <c r="A383" s="59">
        <v>34943</v>
      </c>
      <c r="B383" s="62"/>
      <c r="C383" s="45"/>
      <c r="D383" s="46">
        <v>6.58</v>
      </c>
      <c r="E383" s="78">
        <v>3.8400000000000017E-2</v>
      </c>
      <c r="F383" s="57">
        <f>TabelaCalculo[[#This Row],[SELIC]]+F382</f>
        <v>0.26640000000000003</v>
      </c>
      <c r="G383" s="69">
        <f ca="1">IF(L382="","",G382+TabelaCalculo[[#This Row],[BACEN-SÉRIE 29543]])</f>
        <v>0.11601667000000004</v>
      </c>
      <c r="H383" s="46">
        <v>7.0000000000000007E-2</v>
      </c>
      <c r="I383" s="62">
        <v>15.889632000000001</v>
      </c>
      <c r="J383" s="62">
        <v>1.3189310000000001</v>
      </c>
      <c r="K383" s="62">
        <v>15.889632000000001</v>
      </c>
      <c r="L383" s="80">
        <v>3.3199999999999952E-2</v>
      </c>
      <c r="M383" s="91">
        <f ca="1">MAX(0,-1+ROUND((1+L382)/ROUND(OFFSET(A383,0,FORMULÁRIO!$E$10-1)/OFFSET(A382,0,FORMULÁRIO!$E$10-1),4),8))</f>
        <v>2.7915260000000108E-2</v>
      </c>
      <c r="N383" s="46"/>
    </row>
    <row r="384" spans="1:14" x14ac:dyDescent="0.25">
      <c r="A384" s="59">
        <v>34973</v>
      </c>
      <c r="B384" s="62"/>
      <c r="C384" s="45"/>
      <c r="D384" s="46">
        <v>6.92</v>
      </c>
      <c r="E384" s="78">
        <v>3.3199999999999952E-2</v>
      </c>
      <c r="F384" s="57">
        <f>TabelaCalculo[[#This Row],[SELIC]]+F383</f>
        <v>0.29959999999999998</v>
      </c>
      <c r="G384" s="69">
        <f ca="1">IF(L383="","",G383+TabelaCalculo[[#This Row],[BACEN-SÉRIE 29543]])</f>
        <v>0.13726802999999999</v>
      </c>
      <c r="H384" s="46">
        <v>0.08</v>
      </c>
      <c r="I384" s="62">
        <v>16.07554</v>
      </c>
      <c r="J384" s="62">
        <v>1.3317239999999999</v>
      </c>
      <c r="K384" s="62">
        <v>16.07554</v>
      </c>
      <c r="L384" s="80">
        <v>3.0900000000000039E-2</v>
      </c>
      <c r="M384" s="91">
        <f ca="1">MAX(0,-1+ROUND((1+L383)/ROUND(OFFSET(A384,0,FORMULÁRIO!$E$10-1)/OFFSET(A383,0,FORMULÁRIO!$E$10-1),4),8))</f>
        <v>2.1251359999999941E-2</v>
      </c>
      <c r="N384" s="46"/>
    </row>
    <row r="385" spans="1:14" x14ac:dyDescent="0.25">
      <c r="A385" s="59">
        <v>35004</v>
      </c>
      <c r="B385" s="62"/>
      <c r="C385" s="45"/>
      <c r="D385" s="46">
        <v>6.92</v>
      </c>
      <c r="E385" s="78">
        <v>3.0900000000000039E-2</v>
      </c>
      <c r="F385" s="57">
        <f>TabelaCalculo[[#This Row],[SELIC]]+F384</f>
        <v>0.33050000000000002</v>
      </c>
      <c r="G385" s="69">
        <f ca="1">IF(L384="","",G384+TabelaCalculo[[#This Row],[BACEN-SÉRIE 29543]])</f>
        <v>0.15393469999999998</v>
      </c>
      <c r="H385" s="46">
        <v>0.09</v>
      </c>
      <c r="I385" s="62">
        <v>16.300597</v>
      </c>
      <c r="J385" s="62">
        <v>1.349569</v>
      </c>
      <c r="K385" s="62">
        <v>16.300597</v>
      </c>
      <c r="L385" s="80">
        <v>2.8799999999999992E-2</v>
      </c>
      <c r="M385" s="91">
        <f ca="1">MAX(0,-1+ROUND((1+L384)/ROUND(OFFSET(A385,0,FORMULÁRIO!$E$10-1)/OFFSET(A384,0,FORMULÁRIO!$E$10-1),4),8))</f>
        <v>1.6666669999999995E-2</v>
      </c>
      <c r="N385" s="46"/>
    </row>
    <row r="386" spans="1:14" x14ac:dyDescent="0.25">
      <c r="A386" s="59">
        <v>35034</v>
      </c>
      <c r="B386" s="62"/>
      <c r="C386" s="45"/>
      <c r="D386" s="46">
        <v>6.92</v>
      </c>
      <c r="E386" s="78">
        <v>2.8799999999999989E-2</v>
      </c>
      <c r="F386" s="57">
        <f>TabelaCalculo[[#This Row],[SELIC]]+F385</f>
        <v>0.35930000000000001</v>
      </c>
      <c r="G386" s="69">
        <f ca="1">IF(L385="","",G385+TabelaCalculo[[#This Row],[BACEN-SÉRIE 29543]])</f>
        <v>0.16743090999999999</v>
      </c>
      <c r="H386" s="46">
        <v>0.1</v>
      </c>
      <c r="I386" s="62">
        <v>16.546735999999999</v>
      </c>
      <c r="J386" s="62">
        <v>1.367923</v>
      </c>
      <c r="K386" s="62">
        <v>16.546735999999999</v>
      </c>
      <c r="L386" s="80">
        <v>2.7799999999999991E-2</v>
      </c>
      <c r="M386" s="91">
        <f ca="1">MAX(0,-1+ROUND((1+L385)/ROUND(OFFSET(A386,0,FORMULÁRIO!$E$10-1)/OFFSET(A385,0,FORMULÁRIO!$E$10-1),4),8))</f>
        <v>1.3496210000000008E-2</v>
      </c>
      <c r="N386" s="46"/>
    </row>
    <row r="387" spans="1:14" x14ac:dyDescent="0.25">
      <c r="A387" s="59">
        <v>35065</v>
      </c>
      <c r="B387" s="62"/>
      <c r="C387" s="45"/>
      <c r="D387" s="46">
        <v>7.21</v>
      </c>
      <c r="E387" s="78">
        <v>2.7799999999999995E-2</v>
      </c>
      <c r="F387" s="57">
        <f>TabelaCalculo[[#This Row],[SELIC]]+F386</f>
        <v>0.3871</v>
      </c>
      <c r="G387" s="69">
        <f ca="1">IF(L386="","",G386+TabelaCalculo[[#This Row],[BACEN-SÉRIE 29543]])</f>
        <v>0.17854748999999992</v>
      </c>
      <c r="H387" s="46">
        <v>0.11</v>
      </c>
      <c r="I387" s="62">
        <v>16.819756999999999</v>
      </c>
      <c r="J387" s="62">
        <v>1.387894</v>
      </c>
      <c r="K387" s="62">
        <v>16.819756999999999</v>
      </c>
      <c r="L387" s="80">
        <v>2.579999999999999E-2</v>
      </c>
      <c r="M387" s="91">
        <f ca="1">MAX(0,-1+ROUND((1+L386)/ROUND(OFFSET(A387,0,FORMULÁRIO!$E$10-1)/OFFSET(A386,0,FORMULÁRIO!$E$10-1),4),8))</f>
        <v>1.1116579999999932E-2</v>
      </c>
      <c r="N387" s="46"/>
    </row>
    <row r="388" spans="1:14" x14ac:dyDescent="0.25">
      <c r="A388" s="59">
        <v>35096</v>
      </c>
      <c r="B388" s="62"/>
      <c r="C388" s="45"/>
      <c r="D388" s="46">
        <v>7.21</v>
      </c>
      <c r="E388" s="78">
        <v>2.5799999999999993E-2</v>
      </c>
      <c r="F388" s="57">
        <f>TabelaCalculo[[#This Row],[SELIC]]+F387</f>
        <v>0.41289999999999999</v>
      </c>
      <c r="G388" s="69">
        <f ca="1">IF(L387="","",G387+TabelaCalculo[[#This Row],[BACEN-SÉRIE 29543]])</f>
        <v>0.18958631999999986</v>
      </c>
      <c r="H388" s="46">
        <v>0.12</v>
      </c>
      <c r="I388" s="62">
        <v>17.065325000000001</v>
      </c>
      <c r="J388" s="62">
        <v>1.4105160000000001</v>
      </c>
      <c r="K388" s="62">
        <v>17.065325000000001</v>
      </c>
      <c r="L388" s="80">
        <v>2.3500000000000021E-2</v>
      </c>
      <c r="M388" s="91">
        <f ca="1">MAX(0,-1+ROUND((1+L387)/ROUND(OFFSET(A388,0,FORMULÁRIO!$E$10-1)/OFFSET(A387,0,FORMULÁRIO!$E$10-1),4),8))</f>
        <v>1.1038829999999944E-2</v>
      </c>
      <c r="N388" s="46"/>
    </row>
    <row r="389" spans="1:14" x14ac:dyDescent="0.25">
      <c r="A389" s="59">
        <v>35125</v>
      </c>
      <c r="B389" s="62"/>
      <c r="C389" s="45"/>
      <c r="D389" s="46">
        <v>7.21</v>
      </c>
      <c r="E389" s="78">
        <v>2.3500000000000024E-2</v>
      </c>
      <c r="F389" s="57">
        <f>TabelaCalculo[[#This Row],[SELIC]]+F388</f>
        <v>0.43640000000000001</v>
      </c>
      <c r="G389" s="69">
        <f ca="1">IF(L388="","",G388+TabelaCalculo[[#This Row],[BACEN-SÉRIE 29543]])</f>
        <v>0.20587069999999996</v>
      </c>
      <c r="H389" s="46">
        <v>0.13</v>
      </c>
      <c r="I389" s="62">
        <v>17.186488000000001</v>
      </c>
      <c r="J389" s="62">
        <v>1.4274420000000001</v>
      </c>
      <c r="K389" s="62">
        <v>17.186488000000001</v>
      </c>
      <c r="L389" s="80">
        <v>2.2199999999999998E-2</v>
      </c>
      <c r="M389" s="91">
        <f ca="1">MAX(0,-1+ROUND((1+L388)/ROUND(OFFSET(A389,0,FORMULÁRIO!$E$10-1)/OFFSET(A388,0,FORMULÁRIO!$E$10-1),4),8))</f>
        <v>1.6284380000000098E-2</v>
      </c>
      <c r="N389" s="46"/>
    </row>
    <row r="390" spans="1:14" x14ac:dyDescent="0.25">
      <c r="A390" s="59">
        <v>35156</v>
      </c>
      <c r="B390" s="62"/>
      <c r="C390" s="45"/>
      <c r="D390" s="46">
        <v>7.21</v>
      </c>
      <c r="E390" s="78">
        <v>2.2199999999999998E-2</v>
      </c>
      <c r="F390" s="57">
        <f>TabelaCalculo[[#This Row],[SELIC]]+F389</f>
        <v>0.45860000000000001</v>
      </c>
      <c r="G390" s="69">
        <f ca="1">IF(L389="","",G389+TabelaCalculo[[#This Row],[BACEN-SÉRIE 29543]])</f>
        <v>0.22511488999999996</v>
      </c>
      <c r="H390" s="46">
        <v>0.14000000000000001</v>
      </c>
      <c r="I390" s="62">
        <v>17.236328</v>
      </c>
      <c r="J390" s="62">
        <v>1.4362919999999999</v>
      </c>
      <c r="K390" s="62">
        <v>17.236328</v>
      </c>
      <c r="L390" s="80">
        <v>2.0699999999999996E-2</v>
      </c>
      <c r="M390" s="91">
        <f ca="1">MAX(0,-1+ROUND((1+L389)/ROUND(OFFSET(A390,0,FORMULÁRIO!$E$10-1)/OFFSET(A389,0,FORMULÁRIO!$E$10-1),4),8))</f>
        <v>1.9244189999999994E-2</v>
      </c>
      <c r="N390" s="46"/>
    </row>
    <row r="391" spans="1:14" x14ac:dyDescent="0.25">
      <c r="A391" s="59">
        <v>35186</v>
      </c>
      <c r="B391" s="62"/>
      <c r="C391" s="45"/>
      <c r="D391" s="46">
        <v>7.21</v>
      </c>
      <c r="E391" s="78">
        <v>2.0699999999999993E-2</v>
      </c>
      <c r="F391" s="57">
        <f>TabelaCalculo[[#This Row],[SELIC]]+F390</f>
        <v>0.4793</v>
      </c>
      <c r="G391" s="69">
        <f ca="1">IF(L390="","",G390+TabelaCalculo[[#This Row],[BACEN-SÉRIE 29543]])</f>
        <v>0.23640985000000003</v>
      </c>
      <c r="H391" s="46">
        <v>0.15</v>
      </c>
      <c r="I391" s="62">
        <v>17.396625</v>
      </c>
      <c r="J391" s="62">
        <v>1.4463459999999999</v>
      </c>
      <c r="K391" s="62">
        <v>17.396625</v>
      </c>
      <c r="L391" s="80">
        <v>2.0100000000000007E-2</v>
      </c>
      <c r="M391" s="91">
        <f ca="1">MAX(0,-1+ROUND((1+L390)/ROUND(OFFSET(A391,0,FORMULÁRIO!$E$10-1)/OFFSET(A390,0,FORMULÁRIO!$E$10-1),4),8))</f>
        <v>1.1294960000000076E-2</v>
      </c>
      <c r="N391" s="46"/>
    </row>
    <row r="392" spans="1:14" x14ac:dyDescent="0.25">
      <c r="A392" s="59">
        <v>35217</v>
      </c>
      <c r="B392" s="62"/>
      <c r="C392" s="45"/>
      <c r="D392" s="46">
        <v>7.21</v>
      </c>
      <c r="E392" s="78">
        <v>2.0100000000000007E-2</v>
      </c>
      <c r="F392" s="57">
        <f>TabelaCalculo[[#This Row],[SELIC]]+F391</f>
        <v>0.49940000000000001</v>
      </c>
      <c r="G392" s="69">
        <f ca="1">IF(L391="","",G391+TabelaCalculo[[#This Row],[BACEN-SÉRIE 29543]])</f>
        <v>0.24361758999999994</v>
      </c>
      <c r="H392" s="46">
        <v>0.16</v>
      </c>
      <c r="I392" s="62">
        <v>17.619301</v>
      </c>
      <c r="J392" s="62">
        <v>1.4654370000000001</v>
      </c>
      <c r="K392" s="62">
        <v>17.619301</v>
      </c>
      <c r="L392" s="80">
        <v>1.9799999999999984E-2</v>
      </c>
      <c r="M392" s="91">
        <f ca="1">MAX(0,-1+ROUND((1+L391)/ROUND(OFFSET(A392,0,FORMULÁRIO!$E$10-1)/OFFSET(A391,0,FORMULÁRIO!$E$10-1),4),8))</f>
        <v>7.207739999999907E-3</v>
      </c>
      <c r="N392" s="46"/>
    </row>
    <row r="393" spans="1:14" x14ac:dyDescent="0.25">
      <c r="A393" s="59">
        <v>35247</v>
      </c>
      <c r="B393" s="62"/>
      <c r="C393" s="45"/>
      <c r="D393" s="46">
        <v>7.7</v>
      </c>
      <c r="E393" s="78">
        <v>1.9799999999999984E-2</v>
      </c>
      <c r="F393" s="57">
        <f>TabelaCalculo[[#This Row],[SELIC]]+F392</f>
        <v>0.51919999999999999</v>
      </c>
      <c r="G393" s="69">
        <f ca="1">IF(L392="","",G392+TabelaCalculo[[#This Row],[BACEN-SÉRIE 29543]])</f>
        <v>0.25003226999999995</v>
      </c>
      <c r="H393" s="46">
        <v>0.17</v>
      </c>
      <c r="I393" s="62">
        <v>17.853636999999999</v>
      </c>
      <c r="J393" s="62">
        <v>1.481703</v>
      </c>
      <c r="K393" s="62">
        <v>17.853636999999999</v>
      </c>
      <c r="L393" s="80">
        <v>1.9299999999999984E-2</v>
      </c>
      <c r="M393" s="91">
        <f ca="1">MAX(0,-1+ROUND((1+L392)/ROUND(OFFSET(A393,0,FORMULÁRIO!$E$10-1)/OFFSET(A392,0,FORMULÁRIO!$E$10-1),4),8))</f>
        <v>6.4146800000000059E-3</v>
      </c>
      <c r="N393" s="46"/>
    </row>
    <row r="394" spans="1:14" x14ac:dyDescent="0.25">
      <c r="A394" s="59">
        <v>35278</v>
      </c>
      <c r="B394" s="62"/>
      <c r="C394" s="45"/>
      <c r="D394" s="46">
        <v>7.7</v>
      </c>
      <c r="E394" s="78">
        <v>1.9299999999999984E-2</v>
      </c>
      <c r="F394" s="57">
        <f>TabelaCalculo[[#This Row],[SELIC]]+F393</f>
        <v>0.53849999999999998</v>
      </c>
      <c r="G394" s="69">
        <f ca="1">IF(L393="","",G393+TabelaCalculo[[#This Row],[BACEN-SÉRIE 29543]])</f>
        <v>0.25724570999999985</v>
      </c>
      <c r="H394" s="46">
        <v>0.18</v>
      </c>
      <c r="I394" s="62">
        <v>18.067879999999999</v>
      </c>
      <c r="J394" s="62">
        <v>1.5020020000000001</v>
      </c>
      <c r="K394" s="62">
        <v>18.067879999999999</v>
      </c>
      <c r="L394" s="80">
        <v>1.9700000000000051E-2</v>
      </c>
      <c r="M394" s="91">
        <f ca="1">MAX(0,-1+ROUND((1+L393)/ROUND(OFFSET(A394,0,FORMULÁRIO!$E$10-1)/OFFSET(A393,0,FORMULÁRIO!$E$10-1),4),8))</f>
        <v>7.2134399999999044E-3</v>
      </c>
      <c r="N394" s="46"/>
    </row>
    <row r="395" spans="1:14" x14ac:dyDescent="0.25">
      <c r="A395" s="59">
        <v>35309</v>
      </c>
      <c r="B395" s="62"/>
      <c r="C395" s="45"/>
      <c r="D395" s="46">
        <v>7.7</v>
      </c>
      <c r="E395" s="78">
        <v>1.9700000000000051E-2</v>
      </c>
      <c r="F395" s="57">
        <f>TabelaCalculo[[#This Row],[SELIC]]+F394</f>
        <v>0.55820000000000003</v>
      </c>
      <c r="G395" s="69">
        <f ca="1">IF(L394="","",G394+TabelaCalculo[[#This Row],[BACEN-SÉRIE 29543]])</f>
        <v>0.27187257999999992</v>
      </c>
      <c r="H395" s="46">
        <v>0.19</v>
      </c>
      <c r="I395" s="62">
        <v>18.158218999999999</v>
      </c>
      <c r="J395" s="62">
        <v>1.512516</v>
      </c>
      <c r="K395" s="62">
        <v>18.158218999999999</v>
      </c>
      <c r="L395" s="80">
        <v>1.9000000000000017E-2</v>
      </c>
      <c r="M395" s="91">
        <f ca="1">MAX(0,-1+ROUND((1+L394)/ROUND(OFFSET(A395,0,FORMULÁRIO!$E$10-1)/OFFSET(A394,0,FORMULÁRIO!$E$10-1),4),8))</f>
        <v>1.462687000000007E-2</v>
      </c>
      <c r="N395" s="46"/>
    </row>
    <row r="396" spans="1:14" x14ac:dyDescent="0.25">
      <c r="A396" s="59">
        <v>35339</v>
      </c>
      <c r="B396" s="62"/>
      <c r="C396" s="45"/>
      <c r="D396" s="46">
        <v>7.7</v>
      </c>
      <c r="E396" s="78">
        <v>1.9000000000000017E-2</v>
      </c>
      <c r="F396" s="57">
        <f>TabelaCalculo[[#This Row],[SELIC]]+F395</f>
        <v>0.57720000000000005</v>
      </c>
      <c r="G396" s="69">
        <f ca="1">IF(L395="","",G395+TabelaCalculo[[#This Row],[BACEN-SÉRIE 29543]])</f>
        <v>0.29066881999999983</v>
      </c>
      <c r="H396" s="46">
        <v>0.2</v>
      </c>
      <c r="I396" s="62">
        <v>18.161850000000001</v>
      </c>
      <c r="J396" s="62">
        <v>1.5141789999999999</v>
      </c>
      <c r="K396" s="62">
        <v>18.161850000000001</v>
      </c>
      <c r="L396" s="80">
        <v>1.859999999999995E-2</v>
      </c>
      <c r="M396" s="91">
        <f ca="1">MAX(0,-1+ROUND((1+L395)/ROUND(OFFSET(A396,0,FORMULÁRIO!$E$10-1)/OFFSET(A395,0,FORMULÁRIO!$E$10-1),4),8))</f>
        <v>1.8796239999999909E-2</v>
      </c>
      <c r="N396" s="46"/>
    </row>
    <row r="397" spans="1:14" x14ac:dyDescent="0.25">
      <c r="A397" s="59">
        <v>35370</v>
      </c>
      <c r="B397" s="62"/>
      <c r="C397" s="45"/>
      <c r="D397" s="46">
        <v>7.7</v>
      </c>
      <c r="E397" s="78">
        <v>1.859999999999995E-2</v>
      </c>
      <c r="F397" s="57">
        <f>TabelaCalculo[[#This Row],[SELIC]]+F396</f>
        <v>0.5958</v>
      </c>
      <c r="G397" s="69">
        <f ca="1">IF(L396="","",G396+TabelaCalculo[[#This Row],[BACEN-SÉRIE 29543]])</f>
        <v>0.30541278999999988</v>
      </c>
      <c r="H397" s="46">
        <v>0.21</v>
      </c>
      <c r="I397" s="62">
        <v>18.230865000000001</v>
      </c>
      <c r="J397" s="62">
        <v>1.5162979999999999</v>
      </c>
      <c r="K397" s="62">
        <v>18.230865000000001</v>
      </c>
      <c r="L397" s="80">
        <v>1.8000000000000016E-2</v>
      </c>
      <c r="M397" s="91">
        <f ca="1">MAX(0,-1+ROUND((1+L396)/ROUND(OFFSET(A397,0,FORMULÁRIO!$E$10-1)/OFFSET(A396,0,FORMULÁRIO!$E$10-1),4),8))</f>
        <v>1.4743970000000051E-2</v>
      </c>
      <c r="N397" s="46"/>
    </row>
    <row r="398" spans="1:14" x14ac:dyDescent="0.25">
      <c r="A398" s="59">
        <v>35400</v>
      </c>
      <c r="B398" s="62"/>
      <c r="C398" s="45"/>
      <c r="D398" s="46">
        <v>7.7</v>
      </c>
      <c r="E398" s="78">
        <v>1.8000000000000016E-2</v>
      </c>
      <c r="F398" s="57">
        <f>TabelaCalculo[[#This Row],[SELIC]]+F397</f>
        <v>0.61380000000000001</v>
      </c>
      <c r="G398" s="69">
        <f ca="1">IF(L397="","",G397+TabelaCalculo[[#This Row],[BACEN-SÉRIE 29543]])</f>
        <v>0.31996331999999983</v>
      </c>
      <c r="H398" s="46">
        <v>0.22</v>
      </c>
      <c r="I398" s="62">
        <v>18.292849</v>
      </c>
      <c r="J398" s="62">
        <v>1.5225139999999999</v>
      </c>
      <c r="K398" s="62">
        <v>18.292849</v>
      </c>
      <c r="L398" s="80">
        <v>1.8000000000000016E-2</v>
      </c>
      <c r="M398" s="91">
        <f ca="1">MAX(0,-1+ROUND((1+L397)/ROUND(OFFSET(A398,0,FORMULÁRIO!$E$10-1)/OFFSET(A397,0,FORMULÁRIO!$E$10-1),4),8))</f>
        <v>1.455052999999995E-2</v>
      </c>
      <c r="N398" s="46"/>
    </row>
    <row r="399" spans="1:14" x14ac:dyDescent="0.25">
      <c r="A399" s="59">
        <v>35431</v>
      </c>
      <c r="B399" s="62"/>
      <c r="C399" s="45"/>
      <c r="D399" s="46">
        <v>7.93</v>
      </c>
      <c r="E399" s="78">
        <v>1.8000000000000016E-2</v>
      </c>
      <c r="F399" s="57">
        <f>TabelaCalculo[[#This Row],[SELIC]]+F398</f>
        <v>0.63180000000000003</v>
      </c>
      <c r="G399" s="69">
        <f ca="1">IF(L398="","",G398+TabelaCalculo[[#This Row],[BACEN-SÉRIE 29543]])</f>
        <v>0.33461496999999985</v>
      </c>
      <c r="H399" s="46">
        <v>0.23</v>
      </c>
      <c r="I399" s="62">
        <v>18.353214999999999</v>
      </c>
      <c r="J399" s="62">
        <v>1.5255590000000001</v>
      </c>
      <c r="K399" s="62">
        <v>18.353214999999999</v>
      </c>
      <c r="L399" s="80">
        <v>1.7299999999999982E-2</v>
      </c>
      <c r="M399" s="91">
        <f ca="1">MAX(0,-1+ROUND((1+L398)/ROUND(OFFSET(A399,0,FORMULÁRIO!$E$10-1)/OFFSET(A398,0,FORMULÁRIO!$E$10-1),4),8))</f>
        <v>1.4651650000000016E-2</v>
      </c>
      <c r="N399" s="46"/>
    </row>
    <row r="400" spans="1:14" x14ac:dyDescent="0.25">
      <c r="A400" s="59">
        <v>35462</v>
      </c>
      <c r="B400" s="62"/>
      <c r="C400" s="45"/>
      <c r="D400" s="46">
        <v>7.93</v>
      </c>
      <c r="E400" s="78">
        <v>1.7299999999999982E-2</v>
      </c>
      <c r="F400" s="57">
        <f>TabelaCalculo[[#This Row],[SELIC]]+F399</f>
        <v>0.64910000000000001</v>
      </c>
      <c r="G400" s="69">
        <f ca="1">IF(L399="","",G399+TabelaCalculo[[#This Row],[BACEN-SÉRIE 29543]])</f>
        <v>0.34374104999999977</v>
      </c>
      <c r="H400" s="46">
        <v>0.24</v>
      </c>
      <c r="I400" s="62">
        <v>18.501875999999999</v>
      </c>
      <c r="J400" s="62">
        <v>1.542797</v>
      </c>
      <c r="K400" s="62">
        <v>18.501875999999999</v>
      </c>
      <c r="L400" s="80">
        <v>1.6699999999999937E-2</v>
      </c>
      <c r="M400" s="91">
        <f ca="1">MAX(0,-1+ROUND((1+L399)/ROUND(OFFSET(A400,0,FORMULÁRIO!$E$10-1)/OFFSET(A399,0,FORMULÁRIO!$E$10-1),4),8))</f>
        <v>9.1260799999999254E-3</v>
      </c>
      <c r="N400" s="46"/>
    </row>
    <row r="401" spans="1:14" x14ac:dyDescent="0.25">
      <c r="A401" s="59">
        <v>35490</v>
      </c>
      <c r="B401" s="62"/>
      <c r="C401" s="45"/>
      <c r="D401" s="46">
        <v>7.93</v>
      </c>
      <c r="E401" s="78">
        <v>1.6699999999999937E-2</v>
      </c>
      <c r="F401" s="57">
        <f>TabelaCalculo[[#This Row],[SELIC]]+F400</f>
        <v>0.66579999999999995</v>
      </c>
      <c r="G401" s="69">
        <f ca="1">IF(L400="","",G400+TabelaCalculo[[#This Row],[BACEN-SÉRIE 29543]])</f>
        <v>0.35588639999999971</v>
      </c>
      <c r="H401" s="46">
        <v>0.25</v>
      </c>
      <c r="I401" s="62">
        <v>18.585134</v>
      </c>
      <c r="J401" s="62">
        <v>1.55375</v>
      </c>
      <c r="K401" s="62">
        <v>18.585134</v>
      </c>
      <c r="L401" s="80">
        <v>1.6400000000000081E-2</v>
      </c>
      <c r="M401" s="91">
        <f ca="1">MAX(0,-1+ROUND((1+L400)/ROUND(OFFSET(A401,0,FORMULÁRIO!$E$10-1)/OFFSET(A400,0,FORMULÁRIO!$E$10-1),4),8))</f>
        <v>1.2145349999999944E-2</v>
      </c>
      <c r="N401" s="46"/>
    </row>
    <row r="402" spans="1:14" x14ac:dyDescent="0.25">
      <c r="A402" s="59">
        <v>35521</v>
      </c>
      <c r="B402" s="62"/>
      <c r="C402" s="45"/>
      <c r="D402" s="46">
        <v>7.93</v>
      </c>
      <c r="E402" s="78">
        <v>1.6400000000000081E-2</v>
      </c>
      <c r="F402" s="57">
        <f>TabelaCalculo[[#This Row],[SELIC]]+F401</f>
        <v>0.68220000000000003</v>
      </c>
      <c r="G402" s="69">
        <f ca="1">IF(L401="","",G401+TabelaCalculo[[#This Row],[BACEN-SÉRIE 29543]])</f>
        <v>0.3654215599999997</v>
      </c>
      <c r="H402" s="46">
        <v>0.26</v>
      </c>
      <c r="I402" s="62">
        <v>18.711511999999999</v>
      </c>
      <c r="J402" s="62">
        <v>1.5629169999999999</v>
      </c>
      <c r="K402" s="62">
        <v>18.711511999999999</v>
      </c>
      <c r="L402" s="80">
        <v>1.6599999999999948E-2</v>
      </c>
      <c r="M402" s="91">
        <f ca="1">MAX(0,-1+ROUND((1+L401)/ROUND(OFFSET(A402,0,FORMULÁRIO!$E$10-1)/OFFSET(A401,0,FORMULÁRIO!$E$10-1),4),8))</f>
        <v>9.535159999999987E-3</v>
      </c>
      <c r="N402" s="46"/>
    </row>
    <row r="403" spans="1:14" x14ac:dyDescent="0.25">
      <c r="A403" s="59">
        <v>35551</v>
      </c>
      <c r="B403" s="62"/>
      <c r="C403" s="45"/>
      <c r="D403" s="46">
        <v>7.93</v>
      </c>
      <c r="E403" s="78">
        <v>1.6599999999999948E-2</v>
      </c>
      <c r="F403" s="57">
        <f>TabelaCalculo[[#This Row],[SELIC]]+F402</f>
        <v>0.69879999999999998</v>
      </c>
      <c r="G403" s="69">
        <f ca="1">IF(L402="","",G402+TabelaCalculo[[#This Row],[BACEN-SÉRIE 29543]])</f>
        <v>0.37595833999999972</v>
      </c>
      <c r="H403" s="46">
        <v>0.27</v>
      </c>
      <c r="I403" s="62">
        <v>18.823781</v>
      </c>
      <c r="J403" s="62">
        <v>1.5735440000000001</v>
      </c>
      <c r="K403" s="62">
        <v>18.823781</v>
      </c>
      <c r="L403" s="80">
        <v>1.5800000000000036E-2</v>
      </c>
      <c r="M403" s="91">
        <f ca="1">MAX(0,-1+ROUND((1+L402)/ROUND(OFFSET(A403,0,FORMULÁRIO!$E$10-1)/OFFSET(A402,0,FORMULÁRIO!$E$10-1),4),8))</f>
        <v>1.0536780000000023E-2</v>
      </c>
      <c r="N403" s="46"/>
    </row>
    <row r="404" spans="1:14" x14ac:dyDescent="0.25">
      <c r="A404" s="59">
        <v>35582</v>
      </c>
      <c r="B404" s="62"/>
      <c r="C404" s="45"/>
      <c r="D404" s="46">
        <v>7.93</v>
      </c>
      <c r="E404" s="78">
        <v>1.5800000000000036E-2</v>
      </c>
      <c r="F404" s="57">
        <f>TabelaCalculo[[#This Row],[SELIC]]+F403</f>
        <v>0.71460000000000001</v>
      </c>
      <c r="G404" s="69">
        <f ca="1">IF(L403="","",G403+TabelaCalculo[[#This Row],[BACEN-SÉRIE 29543]])</f>
        <v>0.39064218999999967</v>
      </c>
      <c r="H404" s="46">
        <v>0.28000000000000003</v>
      </c>
      <c r="I404" s="62">
        <v>18.844487000000001</v>
      </c>
      <c r="J404" s="62">
        <v>1.5814109999999999</v>
      </c>
      <c r="K404" s="62">
        <v>18.844487000000001</v>
      </c>
      <c r="L404" s="80">
        <v>1.6100000000000003E-2</v>
      </c>
      <c r="M404" s="91">
        <f ca="1">MAX(0,-1+ROUND((1+L403)/ROUND(OFFSET(A404,0,FORMULÁRIO!$E$10-1)/OFFSET(A403,0,FORMULÁRIO!$E$10-1),4),8))</f>
        <v>1.4683849999999943E-2</v>
      </c>
      <c r="N404" s="46"/>
    </row>
    <row r="405" spans="1:14" x14ac:dyDescent="0.25">
      <c r="A405" s="59">
        <v>35612</v>
      </c>
      <c r="B405" s="62"/>
      <c r="C405" s="45"/>
      <c r="D405" s="46">
        <v>7.93</v>
      </c>
      <c r="E405" s="78">
        <v>1.6100000000000003E-2</v>
      </c>
      <c r="F405" s="57">
        <f>TabelaCalculo[[#This Row],[SELIC]]+F404</f>
        <v>0.73070000000000002</v>
      </c>
      <c r="G405" s="69">
        <f ca="1">IF(L404="","",G404+TabelaCalculo[[#This Row],[BACEN-SÉRIE 29543]])</f>
        <v>0.4031982399999996</v>
      </c>
      <c r="H405" s="46">
        <v>0.28999999999999998</v>
      </c>
      <c r="I405" s="62">
        <v>18.910442</v>
      </c>
      <c r="J405" s="62">
        <v>1.5901080000000001</v>
      </c>
      <c r="K405" s="62">
        <v>18.910442</v>
      </c>
      <c r="L405" s="80">
        <v>1.6000000000000014E-2</v>
      </c>
      <c r="M405" s="91">
        <f ca="1">MAX(0,-1+ROUND((1+L404)/ROUND(OFFSET(A405,0,FORMULÁRIO!$E$10-1)/OFFSET(A404,0,FORMULÁRIO!$E$10-1),4),8))</f>
        <v>1.255604999999993E-2</v>
      </c>
      <c r="N405" s="46"/>
    </row>
    <row r="406" spans="1:14" x14ac:dyDescent="0.25">
      <c r="A406" s="59">
        <v>35643</v>
      </c>
      <c r="B406" s="62"/>
      <c r="C406" s="45"/>
      <c r="D406" s="46">
        <v>7.93</v>
      </c>
      <c r="E406" s="78">
        <v>1.6000000000000014E-2</v>
      </c>
      <c r="F406" s="57">
        <f>TabelaCalculo[[#This Row],[SELIC]]+F405</f>
        <v>0.74670000000000003</v>
      </c>
      <c r="G406" s="69">
        <f ca="1">IF(L405="","",G405+TabelaCalculo[[#This Row],[BACEN-SÉRIE 29543]])</f>
        <v>0.41737272999999964</v>
      </c>
      <c r="H406" s="46">
        <v>0.3</v>
      </c>
      <c r="I406" s="62">
        <v>18.944479999999999</v>
      </c>
      <c r="J406" s="62">
        <v>1.595037</v>
      </c>
      <c r="K406" s="62">
        <v>18.944479999999999</v>
      </c>
      <c r="L406" s="80">
        <v>1.5899999999999914E-2</v>
      </c>
      <c r="M406" s="91">
        <f ca="1">MAX(0,-1+ROUND((1+L405)/ROUND(OFFSET(A406,0,FORMULÁRIO!$E$10-1)/OFFSET(A405,0,FORMULÁRIO!$E$10-1),4),8))</f>
        <v>1.417449000000004E-2</v>
      </c>
      <c r="N406" s="46"/>
    </row>
    <row r="407" spans="1:14" x14ac:dyDescent="0.25">
      <c r="A407" s="59">
        <v>35674</v>
      </c>
      <c r="B407" s="62"/>
      <c r="C407" s="45"/>
      <c r="D407" s="46">
        <v>7.93</v>
      </c>
      <c r="E407" s="78">
        <v>1.5899999999999914E-2</v>
      </c>
      <c r="F407" s="57">
        <f>TabelaCalculo[[#This Row],[SELIC]]+F406</f>
        <v>0.76259999999999994</v>
      </c>
      <c r="G407" s="69">
        <f ca="1">IF(L406="","",G406+TabelaCalculo[[#This Row],[BACEN-SÉRIE 29543]])</f>
        <v>0.43357758999999962</v>
      </c>
      <c r="H407" s="46">
        <v>0.31</v>
      </c>
      <c r="I407" s="62">
        <v>18.938796</v>
      </c>
      <c r="J407" s="62">
        <v>1.5977479999999999</v>
      </c>
      <c r="K407" s="62">
        <v>18.938796</v>
      </c>
      <c r="L407" s="80">
        <v>1.5900000000000025E-2</v>
      </c>
      <c r="M407" s="91">
        <f ca="1">MAX(0,-1+ROUND((1+L406)/ROUND(OFFSET(A407,0,FORMULÁRIO!$E$10-1)/OFFSET(A406,0,FORMULÁRIO!$E$10-1),4),8))</f>
        <v>1.6204859999999988E-2</v>
      </c>
      <c r="N407" s="46"/>
    </row>
    <row r="408" spans="1:14" x14ac:dyDescent="0.25">
      <c r="A408" s="59">
        <v>35704</v>
      </c>
      <c r="B408" s="62"/>
      <c r="C408" s="45"/>
      <c r="D408" s="46">
        <v>7.93</v>
      </c>
      <c r="E408" s="78">
        <v>1.5900000000000025E-2</v>
      </c>
      <c r="F408" s="57">
        <f>TabelaCalculo[[#This Row],[SELIC]]+F407</f>
        <v>0.77849999999999997</v>
      </c>
      <c r="G408" s="69">
        <f ca="1">IF(L407="","",G407+TabelaCalculo[[#This Row],[BACEN-SÉRIE 29543]])</f>
        <v>0.44846269999999966</v>
      </c>
      <c r="H408" s="46">
        <v>0.32</v>
      </c>
      <c r="I408" s="62">
        <v>18.957733999999999</v>
      </c>
      <c r="J408" s="62">
        <v>1.596949</v>
      </c>
      <c r="K408" s="62">
        <v>18.957733999999999</v>
      </c>
      <c r="L408" s="80">
        <v>1.6700000000000048E-2</v>
      </c>
      <c r="M408" s="91">
        <f ca="1">MAX(0,-1+ROUND((1+L407)/ROUND(OFFSET(A408,0,FORMULÁRIO!$E$10-1)/OFFSET(A407,0,FORMULÁRIO!$E$10-1),4),8))</f>
        <v>1.4885110000000035E-2</v>
      </c>
      <c r="N408" s="46"/>
    </row>
    <row r="409" spans="1:14" x14ac:dyDescent="0.25">
      <c r="A409" s="59">
        <v>35735</v>
      </c>
      <c r="B409" s="62"/>
      <c r="C409" s="45"/>
      <c r="D409" s="46">
        <v>7.93</v>
      </c>
      <c r="E409" s="78">
        <v>1.6700000000000048E-2</v>
      </c>
      <c r="F409" s="57">
        <f>TabelaCalculo[[#This Row],[SELIC]]+F408</f>
        <v>0.79520000000000002</v>
      </c>
      <c r="G409" s="69">
        <f ca="1">IF(L408="","",G408+TabelaCalculo[[#This Row],[BACEN-SÉRIE 29543]])</f>
        <v>0.46222279999999971</v>
      </c>
      <c r="H409" s="46">
        <v>0.33</v>
      </c>
      <c r="I409" s="62">
        <v>19.012710999999999</v>
      </c>
      <c r="J409" s="62">
        <v>1.6009409999999999</v>
      </c>
      <c r="K409" s="62">
        <v>19.012710999999999</v>
      </c>
      <c r="L409" s="80">
        <v>3.0399999999999983E-2</v>
      </c>
      <c r="M409" s="91">
        <f ca="1">MAX(0,-1+ROUND((1+L408)/ROUND(OFFSET(A409,0,FORMULÁRIO!$E$10-1)/OFFSET(A408,0,FORMULÁRIO!$E$10-1),4),8))</f>
        <v>1.3760100000000053E-2</v>
      </c>
      <c r="N409" s="46"/>
    </row>
    <row r="410" spans="1:14" x14ac:dyDescent="0.25">
      <c r="A410" s="59">
        <v>35765</v>
      </c>
      <c r="B410" s="62"/>
      <c r="C410" s="45"/>
      <c r="D410" s="46">
        <v>7.93</v>
      </c>
      <c r="E410" s="78">
        <v>3.0399999999999983E-2</v>
      </c>
      <c r="F410" s="57">
        <f>TabelaCalculo[[#This Row],[SELIC]]+F409</f>
        <v>0.8256</v>
      </c>
      <c r="G410" s="69">
        <f ca="1">IF(L409="","",G409+TabelaCalculo[[#This Row],[BACEN-SÉRIE 29543]])</f>
        <v>0.49107950999999961</v>
      </c>
      <c r="H410" s="46">
        <v>0.34</v>
      </c>
      <c r="I410" s="62">
        <v>19.041229999999999</v>
      </c>
      <c r="J410" s="62">
        <v>1.602061</v>
      </c>
      <c r="K410" s="62">
        <v>19.041229999999999</v>
      </c>
      <c r="L410" s="80">
        <v>2.9699999999999949E-2</v>
      </c>
      <c r="M410" s="91">
        <f ca="1">MAX(0,-1+ROUND((1+L409)/ROUND(OFFSET(A410,0,FORMULÁRIO!$E$10-1)/OFFSET(A409,0,FORMULÁRIO!$E$10-1),4),8))</f>
        <v>2.8856709999999897E-2</v>
      </c>
      <c r="N410" s="46"/>
    </row>
    <row r="411" spans="1:14" x14ac:dyDescent="0.25">
      <c r="A411" s="59">
        <v>35796</v>
      </c>
      <c r="B411" s="62"/>
      <c r="C411" s="45"/>
      <c r="D411" s="46">
        <v>8.3699999999999992</v>
      </c>
      <c r="E411" s="78">
        <v>2.9699999999999949E-2</v>
      </c>
      <c r="F411" s="57">
        <f>TabelaCalculo[[#This Row],[SELIC]]+F410</f>
        <v>0.85529999999999995</v>
      </c>
      <c r="G411" s="69">
        <f ca="1">IF(L410="","",G410+TabelaCalculo[[#This Row],[BACEN-SÉRIE 29543]])</f>
        <v>0.51494348999999962</v>
      </c>
      <c r="H411" s="46">
        <v>0.35</v>
      </c>
      <c r="I411" s="62">
        <v>19.149764999999999</v>
      </c>
      <c r="J411" s="62">
        <v>1.6099110000000001</v>
      </c>
      <c r="K411" s="62">
        <v>19.149764999999999</v>
      </c>
      <c r="L411" s="80">
        <v>2.6700000000000057E-2</v>
      </c>
      <c r="M411" s="91">
        <f ca="1">MAX(0,-1+ROUND((1+L410)/ROUND(OFFSET(A411,0,FORMULÁRIO!$E$10-1)/OFFSET(A410,0,FORMULÁRIO!$E$10-1),4),8))</f>
        <v>2.3863980000000007E-2</v>
      </c>
      <c r="N411" s="46"/>
    </row>
    <row r="412" spans="1:14" x14ac:dyDescent="0.25">
      <c r="A412" s="59">
        <v>35827</v>
      </c>
      <c r="B412" s="62"/>
      <c r="C412" s="45"/>
      <c r="D412" s="46">
        <v>8.3699999999999992</v>
      </c>
      <c r="E412" s="78">
        <v>2.6700000000000057E-2</v>
      </c>
      <c r="F412" s="57">
        <f>TabelaCalculo[[#This Row],[SELIC]]+F411</f>
        <v>0.88200000000000001</v>
      </c>
      <c r="G412" s="69">
        <f ca="1">IF(L411="","",G411+TabelaCalculo[[#This Row],[BACEN-SÉRIE 29543]])</f>
        <v>0.53299008999999953</v>
      </c>
      <c r="H412" s="46">
        <v>0.36</v>
      </c>
      <c r="I412" s="62">
        <v>19.312538</v>
      </c>
      <c r="J412" s="62">
        <v>1.6186039999999999</v>
      </c>
      <c r="K412" s="62">
        <v>19.312538</v>
      </c>
      <c r="L412" s="80">
        <v>2.1299999999999986E-2</v>
      </c>
      <c r="M412" s="91">
        <f ca="1">MAX(0,-1+ROUND((1+L411)/ROUND(OFFSET(A412,0,FORMULÁRIO!$E$10-1)/OFFSET(A411,0,FORMULÁRIO!$E$10-1),4),8))</f>
        <v>1.8046599999999913E-2</v>
      </c>
      <c r="N412" s="46"/>
    </row>
    <row r="413" spans="1:14" x14ac:dyDescent="0.25">
      <c r="A413" s="59">
        <v>35855</v>
      </c>
      <c r="B413" s="62"/>
      <c r="C413" s="45"/>
      <c r="D413" s="46">
        <v>8.3699999999999992</v>
      </c>
      <c r="E413" s="78">
        <v>2.1299999999999986E-2</v>
      </c>
      <c r="F413" s="57">
        <f>TabelaCalculo[[#This Row],[SELIC]]+F412</f>
        <v>0.90329999999999999</v>
      </c>
      <c r="G413" s="69">
        <f ca="1">IF(L412="","",G412+TabelaCalculo[[#This Row],[BACEN-SÉRIE 29543]])</f>
        <v>0.54880468999999943</v>
      </c>
      <c r="H413" s="46">
        <v>0.37</v>
      </c>
      <c r="I413" s="62">
        <v>19.416824999999999</v>
      </c>
      <c r="J413" s="62">
        <v>1.6289629999999999</v>
      </c>
      <c r="K413" s="62">
        <v>19.416824999999999</v>
      </c>
      <c r="L413" s="80">
        <v>2.200000000000002E-2</v>
      </c>
      <c r="M413" s="91">
        <f ca="1">MAX(0,-1+ROUND((1+L412)/ROUND(OFFSET(A413,0,FORMULÁRIO!$E$10-1)/OFFSET(A412,0,FORMULÁRIO!$E$10-1),4),8))</f>
        <v>1.5814599999999901E-2</v>
      </c>
      <c r="N413" s="46"/>
    </row>
    <row r="414" spans="1:14" x14ac:dyDescent="0.25">
      <c r="A414" s="59">
        <v>35886</v>
      </c>
      <c r="B414" s="62"/>
      <c r="C414" s="45"/>
      <c r="D414" s="46">
        <v>8.3699999999999992</v>
      </c>
      <c r="E414" s="78">
        <v>2.200000000000002E-2</v>
      </c>
      <c r="F414" s="57">
        <f>TabelaCalculo[[#This Row],[SELIC]]+F413</f>
        <v>0.92530000000000001</v>
      </c>
      <c r="G414" s="69">
        <f ca="1">IF(L413="","",G413+TabelaCalculo[[#This Row],[BACEN-SÉRIE 29543]])</f>
        <v>0.56582130999999936</v>
      </c>
      <c r="H414" s="46">
        <v>0.38</v>
      </c>
      <c r="I414" s="62">
        <v>19.511966999999999</v>
      </c>
      <c r="J414" s="62">
        <v>1.6353150000000001</v>
      </c>
      <c r="K414" s="62">
        <v>19.511966999999999</v>
      </c>
      <c r="L414" s="80">
        <v>1.7100000000000004E-2</v>
      </c>
      <c r="M414" s="91">
        <f ca="1">MAX(0,-1+ROUND((1+L413)/ROUND(OFFSET(A414,0,FORMULÁRIO!$E$10-1)/OFFSET(A413,0,FORMULÁRIO!$E$10-1),4),8))</f>
        <v>1.7016619999999927E-2</v>
      </c>
      <c r="N414" s="46"/>
    </row>
    <row r="415" spans="1:14" x14ac:dyDescent="0.25">
      <c r="A415" s="59">
        <v>35916</v>
      </c>
      <c r="B415" s="62"/>
      <c r="C415" s="45"/>
      <c r="D415" s="46">
        <v>8.3699999999999992</v>
      </c>
      <c r="E415" s="78">
        <v>1.7100000000000004E-2</v>
      </c>
      <c r="F415" s="57">
        <f>TabelaCalculo[[#This Row],[SELIC]]+F414</f>
        <v>0.94240000000000002</v>
      </c>
      <c r="G415" s="69">
        <f ca="1">IF(L414="","",G414+TabelaCalculo[[#This Row],[BACEN-SÉRIE 29543]])</f>
        <v>0.57836485999999931</v>
      </c>
      <c r="H415" s="46">
        <v>0.39</v>
      </c>
      <c r="I415" s="62">
        <v>19.599769999999999</v>
      </c>
      <c r="J415" s="62">
        <v>1.6389119999999999</v>
      </c>
      <c r="K415" s="62">
        <v>19.599769999999999</v>
      </c>
      <c r="L415" s="80">
        <v>1.6299999999999981E-2</v>
      </c>
      <c r="M415" s="91">
        <f ca="1">MAX(0,-1+ROUND((1+L414)/ROUND(OFFSET(A415,0,FORMULÁRIO!$E$10-1)/OFFSET(A414,0,FORMULÁRIO!$E$10-1),4),8))</f>
        <v>1.2543549999999959E-2</v>
      </c>
      <c r="N415" s="46"/>
    </row>
    <row r="416" spans="1:14" x14ac:dyDescent="0.25">
      <c r="A416" s="59">
        <v>35947</v>
      </c>
      <c r="B416" s="62"/>
      <c r="C416" s="45"/>
      <c r="D416" s="46">
        <v>8.3699999999999992</v>
      </c>
      <c r="E416" s="78">
        <v>1.6299999999999981E-2</v>
      </c>
      <c r="F416" s="57">
        <f>TabelaCalculo[[#This Row],[SELIC]]+F415</f>
        <v>0.9587</v>
      </c>
      <c r="G416" s="69">
        <f ca="1">IF(L415="","",G415+TabelaCalculo[[#This Row],[BACEN-SÉRIE 29543]])</f>
        <v>0.5873998099999993</v>
      </c>
      <c r="H416" s="46">
        <v>0.4</v>
      </c>
      <c r="I416" s="62">
        <v>19.740888000000002</v>
      </c>
      <c r="J416" s="62">
        <v>1.6456310000000001</v>
      </c>
      <c r="K416" s="62">
        <v>19.740888000000002</v>
      </c>
      <c r="L416" s="80">
        <v>1.6000000000000014E-2</v>
      </c>
      <c r="M416" s="91">
        <f ca="1">MAX(0,-1+ROUND((1+L415)/ROUND(OFFSET(A416,0,FORMULÁRIO!$E$10-1)/OFFSET(A415,0,FORMULÁRIO!$E$10-1),4),8))</f>
        <v>9.034949999999986E-3</v>
      </c>
      <c r="N416" s="46"/>
    </row>
    <row r="417" spans="1:14" x14ac:dyDescent="0.25">
      <c r="A417" s="59">
        <v>35977</v>
      </c>
      <c r="B417" s="62"/>
      <c r="C417" s="45"/>
      <c r="D417" s="46">
        <v>8.3699999999999992</v>
      </c>
      <c r="E417" s="78">
        <v>1.6000000000000014E-2</v>
      </c>
      <c r="F417" s="57">
        <f>TabelaCalculo[[#This Row],[SELIC]]+F416</f>
        <v>0.97470000000000001</v>
      </c>
      <c r="G417" s="69">
        <f ca="1">IF(L416="","",G416+TabelaCalculo[[#This Row],[BACEN-SÉRIE 29543]])</f>
        <v>0.60187808999999937</v>
      </c>
      <c r="H417" s="46">
        <v>0.41</v>
      </c>
      <c r="I417" s="62">
        <v>19.770499000000001</v>
      </c>
      <c r="J417" s="62">
        <v>1.6512260000000001</v>
      </c>
      <c r="K417" s="62">
        <v>19.770499000000001</v>
      </c>
      <c r="L417" s="80">
        <v>1.7000000000000015E-2</v>
      </c>
      <c r="M417" s="91">
        <f ca="1">MAX(0,-1+ROUND((1+L416)/ROUND(OFFSET(A417,0,FORMULÁRIO!$E$10-1)/OFFSET(A416,0,FORMULÁRIO!$E$10-1),4),8))</f>
        <v>1.4478280000000066E-2</v>
      </c>
      <c r="N417" s="46"/>
    </row>
    <row r="418" spans="1:14" x14ac:dyDescent="0.25">
      <c r="A418" s="59">
        <v>36008</v>
      </c>
      <c r="B418" s="62"/>
      <c r="C418" s="45"/>
      <c r="D418" s="46">
        <v>8.3699999999999992</v>
      </c>
      <c r="E418" s="78">
        <v>1.7000000000000015E-2</v>
      </c>
      <c r="F418" s="57">
        <f>TabelaCalculo[[#This Row],[SELIC]]+F417</f>
        <v>0.99170000000000003</v>
      </c>
      <c r="G418" s="69">
        <f ca="1">IF(L417="","",G417+TabelaCalculo[[#This Row],[BACEN-SÉRIE 29543]])</f>
        <v>0.62173368999999945</v>
      </c>
      <c r="H418" s="46">
        <v>0.42</v>
      </c>
      <c r="I418" s="62">
        <v>19.715140999999999</v>
      </c>
      <c r="J418" s="62">
        <v>1.6494089999999999</v>
      </c>
      <c r="K418" s="62">
        <v>19.715140999999999</v>
      </c>
      <c r="L418" s="80">
        <v>1.4799999999999924E-2</v>
      </c>
      <c r="M418" s="91">
        <f ca="1">MAX(0,-1+ROUND((1+L417)/ROUND(OFFSET(A418,0,FORMULÁRIO!$E$10-1)/OFFSET(A417,0,FORMULÁRIO!$E$10-1),4),8))</f>
        <v>1.9855600000000084E-2</v>
      </c>
      <c r="N418" s="46"/>
    </row>
    <row r="419" spans="1:14" x14ac:dyDescent="0.25">
      <c r="A419" s="59">
        <v>36039</v>
      </c>
      <c r="B419" s="62"/>
      <c r="C419" s="45"/>
      <c r="D419" s="46">
        <v>8.3699999999999992</v>
      </c>
      <c r="E419" s="78">
        <v>1.4799999999999924E-2</v>
      </c>
      <c r="F419" s="57">
        <f>TabelaCalculo[[#This Row],[SELIC]]+F418</f>
        <v>1.0065</v>
      </c>
      <c r="G419" s="69">
        <f ca="1">IF(L418="","",G418+TabelaCalculo[[#This Row],[BACEN-SÉRIE 29543]])</f>
        <v>0.64153069999999945</v>
      </c>
      <c r="H419" s="46">
        <v>0.43</v>
      </c>
      <c r="I419" s="62">
        <v>19.618535999999999</v>
      </c>
      <c r="J419" s="62">
        <v>1.6433059999999999</v>
      </c>
      <c r="K419" s="62">
        <v>19.618535999999999</v>
      </c>
      <c r="L419" s="80">
        <v>2.4900000000000144E-2</v>
      </c>
      <c r="M419" s="91">
        <f ca="1">MAX(0,-1+ROUND((1+L418)/ROUND(OFFSET(A419,0,FORMULÁRIO!$E$10-1)/OFFSET(A418,0,FORMULÁRIO!$E$10-1),4),8))</f>
        <v>1.9797010000000004E-2</v>
      </c>
      <c r="N419" s="46"/>
    </row>
    <row r="420" spans="1:14" x14ac:dyDescent="0.25">
      <c r="A420" s="59">
        <v>36069</v>
      </c>
      <c r="B420" s="62"/>
      <c r="C420" s="45"/>
      <c r="D420" s="46">
        <v>8.3699999999999992</v>
      </c>
      <c r="E420" s="78">
        <v>2.4900000000000144E-2</v>
      </c>
      <c r="F420" s="57">
        <f>TabelaCalculo[[#This Row],[SELIC]]+F419</f>
        <v>1.0314000000000001</v>
      </c>
      <c r="G420" s="69">
        <f ca="1">IF(L419="","",G419+TabelaCalculo[[#This Row],[BACEN-SÉRIE 29543]])</f>
        <v>0.66961776999999945</v>
      </c>
      <c r="H420" s="46">
        <v>0.44</v>
      </c>
      <c r="I420" s="62">
        <v>19.557718000000001</v>
      </c>
      <c r="J420" s="62">
        <v>1.6360749999999999</v>
      </c>
      <c r="K420" s="62">
        <v>19.557718000000001</v>
      </c>
      <c r="L420" s="80">
        <v>2.9399999999999871E-2</v>
      </c>
      <c r="M420" s="91">
        <f ca="1">MAX(0,-1+ROUND((1+L419)/ROUND(OFFSET(A420,0,FORMULÁRIO!$E$10-1)/OFFSET(A419,0,FORMULÁRIO!$E$10-1),4),8))</f>
        <v>2.8087069999999992E-2</v>
      </c>
      <c r="N420" s="46"/>
    </row>
    <row r="421" spans="1:14" x14ac:dyDescent="0.25">
      <c r="A421" s="59">
        <v>36100</v>
      </c>
      <c r="B421" s="62"/>
      <c r="C421" s="45"/>
      <c r="D421" s="46">
        <v>8.3699999999999992</v>
      </c>
      <c r="E421" s="78">
        <v>2.9399999999999871E-2</v>
      </c>
      <c r="F421" s="57">
        <f>TabelaCalculo[[#This Row],[SELIC]]+F420</f>
        <v>1.0608</v>
      </c>
      <c r="G421" s="69">
        <f ca="1">IF(L420="","",G420+TabelaCalculo[[#This Row],[BACEN-SÉRIE 29543]])</f>
        <v>0.69788666999999949</v>
      </c>
      <c r="H421" s="46">
        <v>0.45</v>
      </c>
      <c r="I421" s="62">
        <v>19.579231</v>
      </c>
      <c r="J421" s="62">
        <v>1.6362380000000001</v>
      </c>
      <c r="K421" s="62">
        <v>19.579231</v>
      </c>
      <c r="L421" s="80">
        <v>2.629999999999999E-2</v>
      </c>
      <c r="M421" s="91">
        <f ca="1">MAX(0,-1+ROUND((1+L420)/ROUND(OFFSET(A421,0,FORMULÁRIO!$E$10-1)/OFFSET(A420,0,FORMULÁRIO!$E$10-1),4),8))</f>
        <v>2.8268900000000041E-2</v>
      </c>
      <c r="N421" s="46"/>
    </row>
    <row r="422" spans="1:14" x14ac:dyDescent="0.25">
      <c r="A422" s="59">
        <v>36130</v>
      </c>
      <c r="B422" s="62"/>
      <c r="C422" s="45"/>
      <c r="D422" s="46">
        <v>8.3699999999999992</v>
      </c>
      <c r="E422" s="78">
        <v>2.629999999999999E-2</v>
      </c>
      <c r="F422" s="57">
        <f>TabelaCalculo[[#This Row],[SELIC]]+F421</f>
        <v>1.0871</v>
      </c>
      <c r="G422" s="69">
        <f ca="1">IF(L421="","",G421+TabelaCalculo[[#This Row],[BACEN-SÉRIE 29543]])</f>
        <v>0.72603733999999953</v>
      </c>
      <c r="H422" s="46">
        <v>0.46</v>
      </c>
      <c r="I422" s="62">
        <v>19.543987999999999</v>
      </c>
      <c r="J422" s="62">
        <v>1.6344380000000001</v>
      </c>
      <c r="K422" s="62">
        <v>19.543987999999999</v>
      </c>
      <c r="L422" s="80">
        <v>2.4000000000000021E-2</v>
      </c>
      <c r="M422" s="91">
        <f ca="1">MAX(0,-1+ROUND((1+L421)/ROUND(OFFSET(A422,0,FORMULÁRIO!$E$10-1)/OFFSET(A421,0,FORMULÁRIO!$E$10-1),4),8))</f>
        <v>2.8150670000000044E-2</v>
      </c>
      <c r="N422" s="46"/>
    </row>
    <row r="423" spans="1:14" x14ac:dyDescent="0.25">
      <c r="A423" s="59">
        <v>36161</v>
      </c>
      <c r="B423" s="62"/>
      <c r="C423" s="45"/>
      <c r="D423" s="46">
        <v>8.51</v>
      </c>
      <c r="E423" s="78">
        <v>2.4000000000000021E-2</v>
      </c>
      <c r="F423" s="57">
        <f>TabelaCalculo[[#This Row],[SELIC]]+F422</f>
        <v>1.1111</v>
      </c>
      <c r="G423" s="69">
        <f ca="1">IF(L422="","",G422+TabelaCalculo[[#This Row],[BACEN-SÉRIE 29543]])</f>
        <v>0.74575452999999947</v>
      </c>
      <c r="H423" s="46">
        <v>0.47</v>
      </c>
      <c r="I423" s="62">
        <v>19.626072000000001</v>
      </c>
      <c r="J423" s="62">
        <v>1.6365620000000001</v>
      </c>
      <c r="K423" s="62">
        <v>19.626072000000001</v>
      </c>
      <c r="L423" s="80">
        <v>2.1800000000000042E-2</v>
      </c>
      <c r="M423" s="91">
        <f ca="1">MAX(0,-1+ROUND((1+L422)/ROUND(OFFSET(A423,0,FORMULÁRIO!$E$10-1)/OFFSET(A422,0,FORMULÁRIO!$E$10-1),4),8))</f>
        <v>1.971718999999994E-2</v>
      </c>
      <c r="N423" s="46"/>
    </row>
    <row r="424" spans="1:14" x14ac:dyDescent="0.25">
      <c r="A424" s="59">
        <v>36192</v>
      </c>
      <c r="B424" s="62"/>
      <c r="C424" s="45"/>
      <c r="D424" s="46">
        <v>8.51</v>
      </c>
      <c r="E424" s="78">
        <v>2.1800000000000042E-2</v>
      </c>
      <c r="F424" s="57">
        <f>TabelaCalculo[[#This Row],[SELIC]]+F423</f>
        <v>1.1329</v>
      </c>
      <c r="G424" s="69">
        <f ca="1">IF(L423="","",G423+TabelaCalculo[[#This Row],[BACEN-SÉRIE 29543]])</f>
        <v>0.76095571999999945</v>
      </c>
      <c r="H424" s="46">
        <v>0.48</v>
      </c>
      <c r="I424" s="62">
        <v>19.753640999999998</v>
      </c>
      <c r="J424" s="62">
        <v>1.6476900000000001</v>
      </c>
      <c r="K424" s="62">
        <v>19.753640999999998</v>
      </c>
      <c r="L424" s="80">
        <v>2.3800000000000043E-2</v>
      </c>
      <c r="M424" s="91">
        <f ca="1">MAX(0,-1+ROUND((1+L423)/ROUND(OFFSET(A424,0,FORMULÁRIO!$E$10-1)/OFFSET(A423,0,FORMULÁRIO!$E$10-1),4),8))</f>
        <v>1.5201189999999976E-2</v>
      </c>
      <c r="N424" s="46"/>
    </row>
    <row r="425" spans="1:14" x14ac:dyDescent="0.25">
      <c r="A425" s="59">
        <v>36220</v>
      </c>
      <c r="B425" s="62"/>
      <c r="C425" s="45"/>
      <c r="D425" s="46">
        <v>8.51</v>
      </c>
      <c r="E425" s="78">
        <v>2.3800000000000043E-2</v>
      </c>
      <c r="F425" s="57">
        <f>TabelaCalculo[[#This Row],[SELIC]]+F424</f>
        <v>1.1567000000000001</v>
      </c>
      <c r="G425" s="69">
        <f ca="1">IF(L424="","",G424+TabelaCalculo[[#This Row],[BACEN-SÉRIE 29543]])</f>
        <v>0.77171689999999948</v>
      </c>
      <c r="H425" s="46">
        <v>0.49</v>
      </c>
      <c r="I425" s="62">
        <v>20.008462000000002</v>
      </c>
      <c r="J425" s="62">
        <v>1.6582349999999999</v>
      </c>
      <c r="K425" s="62">
        <v>20.008462000000002</v>
      </c>
      <c r="L425" s="80">
        <v>3.3299999999999885E-2</v>
      </c>
      <c r="M425" s="91">
        <f ca="1">MAX(0,-1+ROUND((1+L424)/ROUND(OFFSET(A425,0,FORMULÁRIO!$E$10-1)/OFFSET(A424,0,FORMULÁRIO!$E$10-1),4),8))</f>
        <v>1.0761180000000037E-2</v>
      </c>
      <c r="N425" s="46"/>
    </row>
    <row r="426" spans="1:14" x14ac:dyDescent="0.25">
      <c r="A426" s="59">
        <v>36251</v>
      </c>
      <c r="B426" s="62"/>
      <c r="C426" s="45"/>
      <c r="D426" s="46">
        <v>8.51</v>
      </c>
      <c r="E426" s="78">
        <v>3.3299999999999885E-2</v>
      </c>
      <c r="F426" s="57">
        <f>TabelaCalculo[[#This Row],[SELIC]]+F425</f>
        <v>1.19</v>
      </c>
      <c r="G426" s="69">
        <f ca="1">IF(L425="","",G425+TabelaCalculo[[#This Row],[BACEN-SÉRIE 29543]])</f>
        <v>0.79195781999999948</v>
      </c>
      <c r="H426" s="46">
        <v>0.5</v>
      </c>
      <c r="I426" s="62">
        <v>20.264569999999999</v>
      </c>
      <c r="J426" s="62">
        <v>1.6784650000000001</v>
      </c>
      <c r="K426" s="62">
        <v>20.264569999999999</v>
      </c>
      <c r="L426" s="80">
        <v>2.3500000000000076E-2</v>
      </c>
      <c r="M426" s="91">
        <f ca="1">MAX(0,-1+ROUND((1+L425)/ROUND(OFFSET(A426,0,FORMULÁRIO!$E$10-1)/OFFSET(A425,0,FORMULÁRIO!$E$10-1),4),8))</f>
        <v>2.0240919999999996E-2</v>
      </c>
      <c r="N426" s="46"/>
    </row>
    <row r="427" spans="1:14" x14ac:dyDescent="0.25">
      <c r="A427" s="59">
        <v>36281</v>
      </c>
      <c r="B427" s="62"/>
      <c r="C427" s="45"/>
      <c r="D427" s="46">
        <v>8.51</v>
      </c>
      <c r="E427" s="78">
        <v>2.3500000000000076E-2</v>
      </c>
      <c r="F427" s="57">
        <f>TabelaCalculo[[#This Row],[SELIC]]+F426</f>
        <v>1.2135</v>
      </c>
      <c r="G427" s="69">
        <f ca="1">IF(L426="","",G426+TabelaCalculo[[#This Row],[BACEN-SÉRIE 29543]])</f>
        <v>0.81066986999999946</v>
      </c>
      <c r="H427" s="46">
        <v>0.51</v>
      </c>
      <c r="I427" s="62">
        <v>20.359812999999999</v>
      </c>
      <c r="J427" s="62">
        <v>1.691557</v>
      </c>
      <c r="K427" s="62">
        <v>20.359812999999999</v>
      </c>
      <c r="L427" s="80">
        <v>2.0199999999999996E-2</v>
      </c>
      <c r="M427" s="91">
        <f ca="1">MAX(0,-1+ROUND((1+L426)/ROUND(OFFSET(A427,0,FORMULÁRIO!$E$10-1)/OFFSET(A426,0,FORMULÁRIO!$E$10-1),4),8))</f>
        <v>1.871204999999998E-2</v>
      </c>
      <c r="N427" s="46"/>
    </row>
    <row r="428" spans="1:14" x14ac:dyDescent="0.25">
      <c r="A428" s="59">
        <v>36312</v>
      </c>
      <c r="B428" s="62"/>
      <c r="C428" s="45"/>
      <c r="D428" s="46">
        <v>8.51</v>
      </c>
      <c r="E428" s="78">
        <v>2.0199999999999996E-2</v>
      </c>
      <c r="F428" s="57">
        <f>TabelaCalculo[[#This Row],[SELIC]]+F427</f>
        <v>1.2337</v>
      </c>
      <c r="G428" s="69">
        <f ca="1">IF(L427="","",G427+TabelaCalculo[[#This Row],[BACEN-SÉRIE 29543]])</f>
        <v>0.83036001999999942</v>
      </c>
      <c r="H428" s="46">
        <v>0.52</v>
      </c>
      <c r="I428" s="62">
        <v>20.369992</v>
      </c>
      <c r="J428" s="62">
        <v>1.700183</v>
      </c>
      <c r="K428" s="62">
        <v>20.369992</v>
      </c>
      <c r="L428" s="80">
        <v>1.6699999999999937E-2</v>
      </c>
      <c r="M428" s="91">
        <f ca="1">MAX(0,-1+ROUND((1+L427)/ROUND(OFFSET(A428,0,FORMULÁRIO!$E$10-1)/OFFSET(A427,0,FORMULÁRIO!$E$10-1),4),8))</f>
        <v>1.9690149999999962E-2</v>
      </c>
      <c r="N428" s="46"/>
    </row>
    <row r="429" spans="1:14" x14ac:dyDescent="0.25">
      <c r="A429" s="59">
        <v>36342</v>
      </c>
      <c r="B429" s="62"/>
      <c r="C429" s="45"/>
      <c r="D429" s="46">
        <v>8.51</v>
      </c>
      <c r="E429" s="78">
        <v>1.6699999999999937E-2</v>
      </c>
      <c r="F429" s="57">
        <f>TabelaCalculo[[#This Row],[SELIC]]+F428</f>
        <v>1.2504</v>
      </c>
      <c r="G429" s="69">
        <f ca="1">IF(L428="","",G428+TabelaCalculo[[#This Row],[BACEN-SÉRIE 29543]])</f>
        <v>0.8463488299999995</v>
      </c>
      <c r="H429" s="46">
        <v>0.53</v>
      </c>
      <c r="I429" s="62">
        <v>20.384250000000002</v>
      </c>
      <c r="J429" s="62">
        <v>1.6998420000000001</v>
      </c>
      <c r="K429" s="62">
        <v>20.384250000000002</v>
      </c>
      <c r="L429" s="80">
        <v>1.6599999999999948E-2</v>
      </c>
      <c r="M429" s="91">
        <f ca="1">MAX(0,-1+ROUND((1+L428)/ROUND(OFFSET(A429,0,FORMULÁRIO!$E$10-1)/OFFSET(A428,0,FORMULÁRIO!$E$10-1),4),8))</f>
        <v>1.5988810000000075E-2</v>
      </c>
      <c r="N429" s="46"/>
    </row>
    <row r="430" spans="1:14" x14ac:dyDescent="0.25">
      <c r="A430" s="59">
        <v>36373</v>
      </c>
      <c r="B430" s="62"/>
      <c r="C430" s="45"/>
      <c r="D430" s="46">
        <v>8.51</v>
      </c>
      <c r="E430" s="78">
        <v>1.6599999999999948E-2</v>
      </c>
      <c r="F430" s="57">
        <f>TabelaCalculo[[#This Row],[SELIC]]+F429</f>
        <v>1.2669999999999999</v>
      </c>
      <c r="G430" s="69">
        <f ca="1">IF(L429="","",G429+TabelaCalculo[[#This Row],[BACEN-SÉRIE 29543]])</f>
        <v>0.85548124999999953</v>
      </c>
      <c r="H430" s="46">
        <v>0.54</v>
      </c>
      <c r="I430" s="62">
        <v>20.535093</v>
      </c>
      <c r="J430" s="62">
        <v>1.7132700000000001</v>
      </c>
      <c r="K430" s="62">
        <v>20.535093</v>
      </c>
      <c r="L430" s="80">
        <v>1.5700000000000047E-2</v>
      </c>
      <c r="M430" s="91">
        <f ca="1">MAX(0,-1+ROUND((1+L429)/ROUND(OFFSET(A430,0,FORMULÁRIO!$E$10-1)/OFFSET(A429,0,FORMULÁRIO!$E$10-1),4),8))</f>
        <v>9.13242000000003E-3</v>
      </c>
      <c r="N430" s="46"/>
    </row>
    <row r="431" spans="1:14" x14ac:dyDescent="0.25">
      <c r="A431" s="59">
        <v>36404</v>
      </c>
      <c r="B431" s="62"/>
      <c r="C431" s="45"/>
      <c r="D431" s="46">
        <v>8.51</v>
      </c>
      <c r="E431" s="78">
        <v>1.5700000000000047E-2</v>
      </c>
      <c r="F431" s="57">
        <f>TabelaCalculo[[#This Row],[SELIC]]+F430</f>
        <v>1.2827</v>
      </c>
      <c r="G431" s="69">
        <f ca="1">IF(L430="","",G430+TabelaCalculo[[#This Row],[BACEN-SÉRIE 29543]])</f>
        <v>0.86562545999999951</v>
      </c>
      <c r="H431" s="46">
        <v>0.55000000000000004</v>
      </c>
      <c r="I431" s="62">
        <v>20.648036000000001</v>
      </c>
      <c r="J431" s="62">
        <v>1.727147</v>
      </c>
      <c r="K431" s="62">
        <v>20.648036000000001</v>
      </c>
      <c r="L431" s="80">
        <v>1.4900000000000135E-2</v>
      </c>
      <c r="M431" s="91">
        <f ca="1">MAX(0,-1+ROUND((1+L430)/ROUND(OFFSET(A431,0,FORMULÁRIO!$E$10-1)/OFFSET(A430,0,FORMULÁRIO!$E$10-1),4),8))</f>
        <v>1.0144209999999987E-2</v>
      </c>
      <c r="N431" s="46"/>
    </row>
    <row r="432" spans="1:14" x14ac:dyDescent="0.25">
      <c r="A432" s="59">
        <v>36434</v>
      </c>
      <c r="B432" s="62"/>
      <c r="C432" s="45"/>
      <c r="D432" s="46">
        <v>8.51</v>
      </c>
      <c r="E432" s="78">
        <v>1.4900000000000135E-2</v>
      </c>
      <c r="F432" s="57">
        <f>TabelaCalculo[[#This Row],[SELIC]]+F431</f>
        <v>1.2976000000000001</v>
      </c>
      <c r="G432" s="69">
        <f ca="1">IF(L431="","",G431+TabelaCalculo[[#This Row],[BACEN-SÉRIE 29543]])</f>
        <v>0.87658272999999953</v>
      </c>
      <c r="H432" s="46">
        <v>0.56000000000000005</v>
      </c>
      <c r="I432" s="62">
        <v>20.728563000000001</v>
      </c>
      <c r="J432" s="62">
        <v>1.7352639999999999</v>
      </c>
      <c r="K432" s="62">
        <v>20.728563000000001</v>
      </c>
      <c r="L432" s="80">
        <v>1.3799999999999812E-2</v>
      </c>
      <c r="M432" s="91">
        <f ca="1">MAX(0,-1+ROUND((1+L431)/ROUND(OFFSET(A432,0,FORMULÁRIO!$E$10-1)/OFFSET(A431,0,FORMULÁRIO!$E$10-1),4),8))</f>
        <v>1.0957270000000019E-2</v>
      </c>
      <c r="N432" s="46"/>
    </row>
    <row r="433" spans="1:14" x14ac:dyDescent="0.25">
      <c r="A433" s="59">
        <v>36465</v>
      </c>
      <c r="B433" s="62"/>
      <c r="C433" s="45"/>
      <c r="D433" s="46">
        <v>8.51</v>
      </c>
      <c r="E433" s="78">
        <v>1.3799999999999812E-2</v>
      </c>
      <c r="F433" s="57">
        <f>TabelaCalculo[[#This Row],[SELIC]]+F432</f>
        <v>1.3113999999999999</v>
      </c>
      <c r="G433" s="69">
        <f ca="1">IF(L432="","",G432+TabelaCalculo[[#This Row],[BACEN-SÉRIE 29543]])</f>
        <v>0.88074278999999955</v>
      </c>
      <c r="H433" s="46">
        <v>0.56999999999999995</v>
      </c>
      <c r="I433" s="62">
        <v>20.927557</v>
      </c>
      <c r="J433" s="62">
        <v>1.7491460000000001</v>
      </c>
      <c r="K433" s="62">
        <v>20.927557</v>
      </c>
      <c r="L433" s="80">
        <v>1.3900000000000023E-2</v>
      </c>
      <c r="M433" s="91">
        <f ca="1">MAX(0,-1+ROUND((1+L432)/ROUND(OFFSET(A433,0,FORMULÁRIO!$E$10-1)/OFFSET(A432,0,FORMULÁRIO!$E$10-1),4),8))</f>
        <v>4.160060000000021E-3</v>
      </c>
      <c r="N433" s="46"/>
    </row>
    <row r="434" spans="1:14" x14ac:dyDescent="0.25">
      <c r="A434" s="59">
        <v>36495</v>
      </c>
      <c r="B434" s="62"/>
      <c r="C434" s="45"/>
      <c r="D434" s="46">
        <v>8.51</v>
      </c>
      <c r="E434" s="78">
        <v>1.3900000000000023E-2</v>
      </c>
      <c r="F434" s="57">
        <f>TabelaCalculo[[#This Row],[SELIC]]+F433</f>
        <v>1.3252999999999999</v>
      </c>
      <c r="G434" s="69">
        <f ca="1">IF(L433="","",G433+TabelaCalculo[[#This Row],[BACEN-SÉRIE 29543]])</f>
        <v>0.88520087999999952</v>
      </c>
      <c r="H434" s="46">
        <v>0.57999999999999996</v>
      </c>
      <c r="I434" s="62">
        <v>21.124275999999998</v>
      </c>
      <c r="J434" s="62">
        <v>1.766462</v>
      </c>
      <c r="K434" s="62">
        <v>21.124275999999998</v>
      </c>
      <c r="L434" s="80">
        <v>1.6000000000000014E-2</v>
      </c>
      <c r="M434" s="91">
        <f ca="1">MAX(0,-1+ROUND((1+L433)/ROUND(OFFSET(A434,0,FORMULÁRIO!$E$10-1)/OFFSET(A433,0,FORMULÁRIO!$E$10-1),4),8))</f>
        <v>4.4580899999999701E-3</v>
      </c>
      <c r="N434" s="46"/>
    </row>
    <row r="435" spans="1:14" x14ac:dyDescent="0.25">
      <c r="A435" s="59">
        <v>36526</v>
      </c>
      <c r="B435" s="62"/>
      <c r="C435" s="45"/>
      <c r="D435" s="46">
        <v>9.27</v>
      </c>
      <c r="E435" s="78">
        <v>1.6000000000000014E-2</v>
      </c>
      <c r="F435" s="57">
        <f>TabelaCalculo[[#This Row],[SELIC]]+F434</f>
        <v>1.3412999999999999</v>
      </c>
      <c r="G435" s="69">
        <f ca="1">IF(L434="","",G434+TabelaCalculo[[#This Row],[BACEN-SÉRIE 29543]])</f>
        <v>0.89373770999999946</v>
      </c>
      <c r="H435" s="46">
        <v>0.59</v>
      </c>
      <c r="I435" s="62">
        <v>21.280595000000002</v>
      </c>
      <c r="J435" s="62">
        <v>1.7825359999999999</v>
      </c>
      <c r="K435" s="62">
        <v>21.280595000000002</v>
      </c>
      <c r="L435" s="80">
        <v>1.4600000000000168E-2</v>
      </c>
      <c r="M435" s="91">
        <f ca="1">MAX(0,-1+ROUND((1+L434)/ROUND(OFFSET(A435,0,FORMULÁRIO!$E$10-1)/OFFSET(A434,0,FORMULÁRIO!$E$10-1),4),8))</f>
        <v>8.5368299999999397E-3</v>
      </c>
      <c r="N435" s="46"/>
    </row>
    <row r="436" spans="1:14" x14ac:dyDescent="0.25">
      <c r="A436" s="59">
        <v>36557</v>
      </c>
      <c r="B436" s="62"/>
      <c r="C436" s="45"/>
      <c r="D436" s="46">
        <v>9.27</v>
      </c>
      <c r="E436" s="78">
        <v>1.4600000000000168E-2</v>
      </c>
      <c r="F436" s="57">
        <f>TabelaCalculo[[#This Row],[SELIC]]+F435</f>
        <v>1.3559000000000001</v>
      </c>
      <c r="G436" s="69">
        <f ca="1">IF(L435="","",G435+TabelaCalculo[[#This Row],[BACEN-SÉRIE 29543]])</f>
        <v>0.90218616999999957</v>
      </c>
      <c r="H436" s="46">
        <v>0.6</v>
      </c>
      <c r="I436" s="62">
        <v>21.410405999999998</v>
      </c>
      <c r="J436" s="62">
        <v>1.794122</v>
      </c>
      <c r="K436" s="62">
        <v>21.410405999999998</v>
      </c>
      <c r="L436" s="80">
        <v>1.4499999999999957E-2</v>
      </c>
      <c r="M436" s="91">
        <f ca="1">MAX(0,-1+ROUND((1+L435)/ROUND(OFFSET(A436,0,FORMULÁRIO!$E$10-1)/OFFSET(A435,0,FORMULÁRIO!$E$10-1),4),8))</f>
        <v>8.448460000000102E-3</v>
      </c>
      <c r="N436" s="46"/>
    </row>
    <row r="437" spans="1:14" x14ac:dyDescent="0.25">
      <c r="A437" s="59">
        <v>36586</v>
      </c>
      <c r="B437" s="62"/>
      <c r="C437" s="45"/>
      <c r="D437" s="46">
        <v>9.27</v>
      </c>
      <c r="E437" s="78">
        <v>1.4499999999999957E-2</v>
      </c>
      <c r="F437" s="57">
        <f>TabelaCalculo[[#This Row],[SELIC]]+F436</f>
        <v>1.3704000000000001</v>
      </c>
      <c r="G437" s="69">
        <f ca="1">IF(L436="","",G436+TabelaCalculo[[#This Row],[BACEN-SÉRIE 29543]])</f>
        <v>0.91617916999999949</v>
      </c>
      <c r="H437" s="46">
        <v>0.61</v>
      </c>
      <c r="I437" s="62">
        <v>21.421111</v>
      </c>
      <c r="J437" s="62">
        <v>1.800222</v>
      </c>
      <c r="K437" s="62">
        <v>21.421111</v>
      </c>
      <c r="L437" s="80">
        <v>1.4499999999999957E-2</v>
      </c>
      <c r="M437" s="91">
        <f ca="1">MAX(0,-1+ROUND((1+L436)/ROUND(OFFSET(A437,0,FORMULÁRIO!$E$10-1)/OFFSET(A436,0,FORMULÁRIO!$E$10-1),4),8))</f>
        <v>1.3992999999999922E-2</v>
      </c>
      <c r="N437" s="46"/>
    </row>
    <row r="438" spans="1:14" x14ac:dyDescent="0.25">
      <c r="A438" s="59">
        <v>36617</v>
      </c>
      <c r="B438" s="62"/>
      <c r="C438" s="45"/>
      <c r="D438" s="46">
        <v>9.27</v>
      </c>
      <c r="E438" s="78">
        <v>1.4499999999999957E-2</v>
      </c>
      <c r="F438" s="57">
        <f>TabelaCalculo[[#This Row],[SELIC]]+F437</f>
        <v>1.3849</v>
      </c>
      <c r="G438" s="69">
        <f ca="1">IF(L437="","",G437+TabelaCalculo[[#This Row],[BACEN-SÉRIE 29543]])</f>
        <v>0.9293620299999994</v>
      </c>
      <c r="H438" s="46">
        <v>0.62</v>
      </c>
      <c r="I438" s="62">
        <v>21.448958000000001</v>
      </c>
      <c r="J438" s="62">
        <v>1.8018419999999999</v>
      </c>
      <c r="K438" s="62">
        <v>21.448958000000001</v>
      </c>
      <c r="L438" s="80">
        <v>1.2999999999999901E-2</v>
      </c>
      <c r="M438" s="91">
        <f ca="1">MAX(0,-1+ROUND((1+L437)/ROUND(OFFSET(A438,0,FORMULÁRIO!$E$10-1)/OFFSET(A437,0,FORMULÁRIO!$E$10-1),4),8))</f>
        <v>1.3182859999999907E-2</v>
      </c>
      <c r="N438" s="46"/>
    </row>
    <row r="439" spans="1:14" x14ac:dyDescent="0.25">
      <c r="A439" s="59">
        <v>36647</v>
      </c>
      <c r="B439" s="62"/>
      <c r="C439" s="45"/>
      <c r="D439" s="46">
        <v>9.27</v>
      </c>
      <c r="E439" s="78">
        <v>1.2999999999999901E-2</v>
      </c>
      <c r="F439" s="57">
        <f>TabelaCalculo[[#This Row],[SELIC]]+F438</f>
        <v>1.3978999999999999</v>
      </c>
      <c r="G439" s="69">
        <f ca="1">IF(L438="","",G438+TabelaCalculo[[#This Row],[BACEN-SÉRIE 29543]])</f>
        <v>0.94145114999999935</v>
      </c>
      <c r="H439" s="46">
        <v>0.63</v>
      </c>
      <c r="I439" s="62">
        <v>21.468261999999999</v>
      </c>
      <c r="J439" s="62">
        <v>1.8103100000000001</v>
      </c>
      <c r="K439" s="62">
        <v>21.468261999999999</v>
      </c>
      <c r="L439" s="80">
        <v>1.4900000000000135E-2</v>
      </c>
      <c r="M439" s="91">
        <f ca="1">MAX(0,-1+ROUND((1+L438)/ROUND(OFFSET(A439,0,FORMULÁRIO!$E$10-1)/OFFSET(A438,0,FORMULÁRIO!$E$10-1),4),8))</f>
        <v>1.2089119999999953E-2</v>
      </c>
      <c r="N439" s="46"/>
    </row>
    <row r="440" spans="1:14" x14ac:dyDescent="0.25">
      <c r="A440" s="59">
        <v>36678</v>
      </c>
      <c r="B440" s="62"/>
      <c r="C440" s="45"/>
      <c r="D440" s="46">
        <v>9.27</v>
      </c>
      <c r="E440" s="78">
        <v>1.4900000000000135E-2</v>
      </c>
      <c r="F440" s="57">
        <f>TabelaCalculo[[#This Row],[SELIC]]+F439</f>
        <v>1.4128000000000001</v>
      </c>
      <c r="G440" s="69">
        <f ca="1">IF(L439="","",G439+TabelaCalculo[[#This Row],[BACEN-SÉRIE 29543]])</f>
        <v>0.95685884999999926</v>
      </c>
      <c r="H440" s="46">
        <v>0.64</v>
      </c>
      <c r="I440" s="62">
        <v>21.457526999999999</v>
      </c>
      <c r="J440" s="62">
        <v>1.811939</v>
      </c>
      <c r="K440" s="62">
        <v>21.457526999999999</v>
      </c>
      <c r="L440" s="80">
        <v>1.3900000000000023E-2</v>
      </c>
      <c r="M440" s="91">
        <f ca="1">MAX(0,-1+ROUND((1+L439)/ROUND(OFFSET(A440,0,FORMULÁRIO!$E$10-1)/OFFSET(A439,0,FORMULÁRIO!$E$10-1),4),8))</f>
        <v>1.5407699999999913E-2</v>
      </c>
      <c r="N440" s="46"/>
    </row>
    <row r="441" spans="1:14" x14ac:dyDescent="0.25">
      <c r="A441" s="59">
        <v>36708</v>
      </c>
      <c r="B441" s="62"/>
      <c r="C441" s="45"/>
      <c r="D441" s="46">
        <v>9.27</v>
      </c>
      <c r="E441" s="78">
        <v>1.3900000000000023E-2</v>
      </c>
      <c r="F441" s="57">
        <f>TabelaCalculo[[#This Row],[SELIC]]+F440</f>
        <v>1.4267000000000001</v>
      </c>
      <c r="G441" s="69">
        <f ca="1">IF(L440="","",G440+TabelaCalculo[[#This Row],[BACEN-SÉRIE 29543]])</f>
        <v>0.96772624999999923</v>
      </c>
      <c r="H441" s="46">
        <v>0.65</v>
      </c>
      <c r="I441" s="62">
        <v>21.521899000000001</v>
      </c>
      <c r="J441" s="62">
        <v>1.813388</v>
      </c>
      <c r="K441" s="62">
        <v>21.521899000000001</v>
      </c>
      <c r="L441" s="80">
        <v>1.309999999999989E-2</v>
      </c>
      <c r="M441" s="91">
        <f ca="1">MAX(0,-1+ROUND((1+L440)/ROUND(OFFSET(A441,0,FORMULÁRIO!$E$10-1)/OFFSET(A440,0,FORMULÁRIO!$E$10-1),4),8))</f>
        <v>1.0867399999999972E-2</v>
      </c>
      <c r="N441" s="46"/>
    </row>
    <row r="442" spans="1:14" x14ac:dyDescent="0.25">
      <c r="A442" s="59">
        <v>36739</v>
      </c>
      <c r="B442" s="62"/>
      <c r="C442" s="45"/>
      <c r="D442" s="46">
        <v>9.27</v>
      </c>
      <c r="E442" s="78">
        <v>1.309999999999989E-2</v>
      </c>
      <c r="F442" s="57">
        <f>TabelaCalculo[[#This Row],[SELIC]]+F441</f>
        <v>1.4398</v>
      </c>
      <c r="G442" s="69">
        <f ca="1">IF(L441="","",G441+TabelaCalculo[[#This Row],[BACEN-SÉRIE 29543]])</f>
        <v>0.96772624999999923</v>
      </c>
      <c r="H442" s="46">
        <v>0.66</v>
      </c>
      <c r="I442" s="62">
        <v>21.821052999999999</v>
      </c>
      <c r="J442" s="62">
        <v>1.8275319999999999</v>
      </c>
      <c r="K442" s="62">
        <v>21.821052999999999</v>
      </c>
      <c r="L442" s="80">
        <v>1.4100000000000001E-2</v>
      </c>
      <c r="M442" s="91">
        <f ca="1">MAX(0,-1+ROUND((1+L441)/ROUND(OFFSET(A442,0,FORMULÁRIO!$E$10-1)/OFFSET(A441,0,FORMULÁRIO!$E$10-1),4),8))</f>
        <v>0</v>
      </c>
      <c r="N442" s="46"/>
    </row>
    <row r="443" spans="1:14" x14ac:dyDescent="0.25">
      <c r="A443" s="59">
        <v>36770</v>
      </c>
      <c r="B443" s="62"/>
      <c r="C443" s="45"/>
      <c r="D443" s="46">
        <v>9.27</v>
      </c>
      <c r="E443" s="78">
        <v>1.4100000000000001E-2</v>
      </c>
      <c r="F443" s="57">
        <f>TabelaCalculo[[#This Row],[SELIC]]+F442</f>
        <v>1.4539</v>
      </c>
      <c r="G443" s="69">
        <f ca="1">IF(L442="","",G442+TabelaCalculo[[#This Row],[BACEN-SÉRIE 29543]])</f>
        <v>0.96970233999999933</v>
      </c>
      <c r="H443" s="46">
        <v>0.67</v>
      </c>
      <c r="I443" s="62">
        <v>22.085087000000001</v>
      </c>
      <c r="J443" s="62">
        <v>1.863899</v>
      </c>
      <c r="K443" s="62">
        <v>22.085087000000001</v>
      </c>
      <c r="L443" s="80">
        <v>1.2199999999999989E-2</v>
      </c>
      <c r="M443" s="91">
        <f ca="1">MAX(0,-1+ROUND((1+L442)/ROUND(OFFSET(A443,0,FORMULÁRIO!$E$10-1)/OFFSET(A442,0,FORMULÁRIO!$E$10-1),4),8))</f>
        <v>1.9760900000000969E-3</v>
      </c>
      <c r="N443" s="46"/>
    </row>
    <row r="444" spans="1:14" x14ac:dyDescent="0.25">
      <c r="A444" s="59">
        <v>36800</v>
      </c>
      <c r="B444" s="62"/>
      <c r="C444" s="45"/>
      <c r="D444" s="46">
        <v>9.27</v>
      </c>
      <c r="E444" s="78">
        <v>1.2199999999999989E-2</v>
      </c>
      <c r="F444" s="57">
        <f>TabelaCalculo[[#This Row],[SELIC]]+F443</f>
        <v>1.4661</v>
      </c>
      <c r="G444" s="69">
        <f ca="1">IF(L443="","",G443+TabelaCalculo[[#This Row],[BACEN-SÉRIE 29543]])</f>
        <v>0.97756851999999927</v>
      </c>
      <c r="H444" s="46">
        <v>0.68</v>
      </c>
      <c r="I444" s="62">
        <v>22.180052</v>
      </c>
      <c r="J444" s="62">
        <v>1.8722859999999999</v>
      </c>
      <c r="K444" s="62">
        <v>22.180052</v>
      </c>
      <c r="L444" s="80">
        <v>1.2900000000000134E-2</v>
      </c>
      <c r="M444" s="91">
        <f ca="1">MAX(0,-1+ROUND((1+L443)/ROUND(OFFSET(A444,0,FORMULÁRIO!$E$10-1)/OFFSET(A443,0,FORMULÁRIO!$E$10-1),4),8))</f>
        <v>7.8661799999999449E-3</v>
      </c>
      <c r="N444" s="46"/>
    </row>
    <row r="445" spans="1:14" x14ac:dyDescent="0.25">
      <c r="A445" s="59">
        <v>36831</v>
      </c>
      <c r="B445" s="62"/>
      <c r="C445" s="45"/>
      <c r="D445" s="46">
        <v>9.27</v>
      </c>
      <c r="E445" s="78">
        <v>1.2900000000000134E-2</v>
      </c>
      <c r="F445" s="57">
        <f>TabelaCalculo[[#This Row],[SELIC]]+F444</f>
        <v>1.4790000000000001</v>
      </c>
      <c r="G445" s="69">
        <f ca="1">IF(L444="","",G444+TabelaCalculo[[#This Row],[BACEN-SÉRIE 29543]])</f>
        <v>0.98885046999999937</v>
      </c>
      <c r="H445" s="46">
        <v>0.69</v>
      </c>
      <c r="I445" s="62">
        <v>22.215540000000001</v>
      </c>
      <c r="J445" s="62">
        <v>1.875656</v>
      </c>
      <c r="K445" s="62">
        <v>22.215540000000001</v>
      </c>
      <c r="L445" s="80">
        <v>1.2199999999999989E-2</v>
      </c>
      <c r="M445" s="91">
        <f ca="1">MAX(0,-1+ROUND((1+L444)/ROUND(OFFSET(A445,0,FORMULÁRIO!$E$10-1)/OFFSET(A444,0,FORMULÁRIO!$E$10-1),4),8))</f>
        <v>1.1281950000000096E-2</v>
      </c>
      <c r="N445" s="46"/>
    </row>
    <row r="446" spans="1:14" x14ac:dyDescent="0.25">
      <c r="A446" s="59">
        <v>36861</v>
      </c>
      <c r="B446" s="62"/>
      <c r="C446" s="45"/>
      <c r="D446" s="46">
        <v>9.27</v>
      </c>
      <c r="E446" s="78">
        <v>1.2199999999999989E-2</v>
      </c>
      <c r="F446" s="57">
        <f>TabelaCalculo[[#This Row],[SELIC]]+F445</f>
        <v>1.4912000000000001</v>
      </c>
      <c r="G446" s="69">
        <f ca="1">IF(L445="","",G445+TabelaCalculo[[#This Row],[BACEN-SÉRIE 29543]])</f>
        <v>0.99812357999999946</v>
      </c>
      <c r="H446" s="46">
        <v>0.7</v>
      </c>
      <c r="I446" s="62">
        <v>22.279965000000001</v>
      </c>
      <c r="J446" s="62">
        <v>1.878844</v>
      </c>
      <c r="K446" s="62">
        <v>22.279965000000001</v>
      </c>
      <c r="L446" s="80">
        <v>1.2000000000000011E-2</v>
      </c>
      <c r="M446" s="91">
        <f ca="1">MAX(0,-1+ROUND((1+L445)/ROUND(OFFSET(A446,0,FORMULÁRIO!$E$10-1)/OFFSET(A445,0,FORMULÁRIO!$E$10-1),4),8))</f>
        <v>9.2731100000000843E-3</v>
      </c>
      <c r="N446" s="46"/>
    </row>
    <row r="447" spans="1:14" x14ac:dyDescent="0.25">
      <c r="A447" s="59">
        <v>36892</v>
      </c>
      <c r="B447" s="62"/>
      <c r="C447" s="45"/>
      <c r="D447" s="46">
        <v>9.83</v>
      </c>
      <c r="E447" s="78">
        <v>1.2000000000000011E-2</v>
      </c>
      <c r="F447" s="57">
        <f>TabelaCalculo[[#This Row],[SELIC]]+F446</f>
        <v>1.5032000000000001</v>
      </c>
      <c r="G447" s="69">
        <f ca="1">IF(L446="","",G446+TabelaCalculo[[#This Row],[BACEN-SÉRIE 29543]])</f>
        <v>1.0045880299999994</v>
      </c>
      <c r="H447" s="46">
        <v>0.71</v>
      </c>
      <c r="I447" s="62">
        <v>22.402504</v>
      </c>
      <c r="J447" s="62">
        <v>1.890117</v>
      </c>
      <c r="K447" s="62">
        <v>22.402504</v>
      </c>
      <c r="L447" s="80">
        <v>1.2699999999999934E-2</v>
      </c>
      <c r="M447" s="91">
        <f ca="1">MAX(0,-1+ROUND((1+L446)/ROUND(OFFSET(A447,0,FORMULÁRIO!$E$10-1)/OFFSET(A446,0,FORMULÁRIO!$E$10-1),4),8))</f>
        <v>6.464449999999955E-3</v>
      </c>
      <c r="N447" s="46"/>
    </row>
    <row r="448" spans="1:14" x14ac:dyDescent="0.25">
      <c r="A448" s="59">
        <v>36923</v>
      </c>
      <c r="B448" s="62"/>
      <c r="C448" s="45"/>
      <c r="D448" s="46">
        <v>9.83</v>
      </c>
      <c r="E448" s="78">
        <v>1.2699999999999934E-2</v>
      </c>
      <c r="F448" s="57">
        <f>TabelaCalculo[[#This Row],[SELIC]]+F447</f>
        <v>1.5159</v>
      </c>
      <c r="G448" s="69">
        <f ca="1">IF(L447="","",G447+TabelaCalculo[[#This Row],[BACEN-SÉRIE 29543]])</f>
        <v>1.0095498199999995</v>
      </c>
      <c r="H448" s="46">
        <v>0.72</v>
      </c>
      <c r="I448" s="62">
        <v>22.575002999999999</v>
      </c>
      <c r="J448" s="62">
        <v>1.9020239999999999</v>
      </c>
      <c r="K448" s="62">
        <v>22.575002999999999</v>
      </c>
      <c r="L448" s="80">
        <v>1.0199999999999987E-2</v>
      </c>
      <c r="M448" s="91">
        <f ca="1">MAX(0,-1+ROUND((1+L447)/ROUND(OFFSET(A448,0,FORMULÁRIO!$E$10-1)/OFFSET(A447,0,FORMULÁRIO!$E$10-1),4),8))</f>
        <v>4.961790000000077E-3</v>
      </c>
      <c r="N448" s="46"/>
    </row>
    <row r="449" spans="1:14" x14ac:dyDescent="0.25">
      <c r="A449" s="59">
        <v>36951</v>
      </c>
      <c r="B449" s="62"/>
      <c r="C449" s="45"/>
      <c r="D449" s="46">
        <v>9.83</v>
      </c>
      <c r="E449" s="78">
        <v>1.0199999999999987E-2</v>
      </c>
      <c r="F449" s="57">
        <f>TabelaCalculo[[#This Row],[SELIC]]+F448</f>
        <v>1.5261</v>
      </c>
      <c r="G449" s="69">
        <f ca="1">IF(L448="","",G448+TabelaCalculo[[#This Row],[BACEN-SÉRIE 29543]])</f>
        <v>1.0148239799999994</v>
      </c>
      <c r="H449" s="46">
        <v>0.73</v>
      </c>
      <c r="I449" s="62">
        <v>22.68562</v>
      </c>
      <c r="J449" s="62">
        <v>1.9115340000000001</v>
      </c>
      <c r="K449" s="62">
        <v>22.68562</v>
      </c>
      <c r="L449" s="80">
        <v>1.2599999999999945E-2</v>
      </c>
      <c r="M449" s="91">
        <f ca="1">MAX(0,-1+ROUND((1+L448)/ROUND(OFFSET(A449,0,FORMULÁRIO!$E$10-1)/OFFSET(A448,0,FORMULÁRIO!$E$10-1),4),8))</f>
        <v>5.2741599999999167E-3</v>
      </c>
      <c r="N449" s="46"/>
    </row>
    <row r="450" spans="1:14" x14ac:dyDescent="0.25">
      <c r="A450" s="59">
        <v>36982</v>
      </c>
      <c r="B450" s="62"/>
      <c r="C450" s="45"/>
      <c r="D450" s="46">
        <v>9.83</v>
      </c>
      <c r="E450" s="78">
        <v>1.2599999999999945E-2</v>
      </c>
      <c r="F450" s="57">
        <f>TabelaCalculo[[#This Row],[SELIC]]+F449</f>
        <v>1.5387</v>
      </c>
      <c r="G450" s="69">
        <f ca="1">IF(L449="","",G449+TabelaCalculo[[#This Row],[BACEN-SÉRIE 29543]])</f>
        <v>1.0225867199999994</v>
      </c>
      <c r="H450" s="46">
        <v>0.74</v>
      </c>
      <c r="I450" s="62">
        <v>22.794509999999999</v>
      </c>
      <c r="J450" s="62">
        <v>1.918415</v>
      </c>
      <c r="K450" s="62">
        <v>22.794509999999999</v>
      </c>
      <c r="L450" s="80">
        <v>1.1900000000000022E-2</v>
      </c>
      <c r="M450" s="91">
        <f ca="1">MAX(0,-1+ROUND((1+L449)/ROUND(OFFSET(A450,0,FORMULÁRIO!$E$10-1)/OFFSET(A449,0,FORMULÁRIO!$E$10-1),4),8))</f>
        <v>7.7627399999999902E-3</v>
      </c>
      <c r="N450" s="46"/>
    </row>
    <row r="451" spans="1:14" x14ac:dyDescent="0.25">
      <c r="A451" s="59">
        <v>37012</v>
      </c>
      <c r="B451" s="62"/>
      <c r="C451" s="45"/>
      <c r="D451" s="46">
        <v>9.83</v>
      </c>
      <c r="E451" s="78">
        <v>1.1900000000000022E-2</v>
      </c>
      <c r="F451" s="57">
        <f>TabelaCalculo[[#This Row],[SELIC]]+F450</f>
        <v>1.5506</v>
      </c>
      <c r="G451" s="69">
        <f ca="1">IF(L450="","",G450+TabelaCalculo[[#This Row],[BACEN-SÉRIE 29543]])</f>
        <v>1.0260575599999995</v>
      </c>
      <c r="H451" s="46">
        <v>0.75</v>
      </c>
      <c r="I451" s="62">
        <v>22.985983000000001</v>
      </c>
      <c r="J451" s="62">
        <v>1.928007</v>
      </c>
      <c r="K451" s="62">
        <v>22.985983000000001</v>
      </c>
      <c r="L451" s="80">
        <v>1.3400000000000079E-2</v>
      </c>
      <c r="M451" s="91">
        <f ca="1">MAX(0,-1+ROUND((1+L450)/ROUND(OFFSET(A451,0,FORMULÁRIO!$E$10-1)/OFFSET(A450,0,FORMULÁRIO!$E$10-1),4),8))</f>
        <v>3.4708400000000861E-3</v>
      </c>
      <c r="N451" s="46"/>
    </row>
    <row r="452" spans="1:14" x14ac:dyDescent="0.25">
      <c r="A452" s="59">
        <v>37043</v>
      </c>
      <c r="B452" s="62"/>
      <c r="C452" s="45"/>
      <c r="D452" s="46">
        <v>9.83</v>
      </c>
      <c r="E452" s="78">
        <v>1.3400000000000079E-2</v>
      </c>
      <c r="F452" s="57">
        <f>TabelaCalculo[[#This Row],[SELIC]]+F451</f>
        <v>1.5640000000000001</v>
      </c>
      <c r="G452" s="69">
        <f ca="1">IF(L451="","",G451+TabelaCalculo[[#This Row],[BACEN-SÉRIE 29543]])</f>
        <v>1.0337139199999994</v>
      </c>
      <c r="H452" s="46">
        <v>0.76</v>
      </c>
      <c r="I452" s="62">
        <v>23.117003</v>
      </c>
      <c r="J452" s="62">
        <v>1.937454</v>
      </c>
      <c r="K452" s="62">
        <v>23.117003</v>
      </c>
      <c r="L452" s="80">
        <v>1.2699999999999934E-2</v>
      </c>
      <c r="M452" s="91">
        <f ca="1">MAX(0,-1+ROUND((1+L451)/ROUND(OFFSET(A452,0,FORMULÁRIO!$E$10-1)/OFFSET(A451,0,FORMULÁRIO!$E$10-1),4),8))</f>
        <v>7.6563599999999177E-3</v>
      </c>
      <c r="N452" s="46"/>
    </row>
    <row r="453" spans="1:14" x14ac:dyDescent="0.25">
      <c r="A453" s="59">
        <v>37073</v>
      </c>
      <c r="B453" s="62"/>
      <c r="C453" s="45"/>
      <c r="D453" s="46">
        <v>9.83</v>
      </c>
      <c r="E453" s="78">
        <v>1.2699999999999934E-2</v>
      </c>
      <c r="F453" s="57">
        <f>TabelaCalculo[[#This Row],[SELIC]]+F452</f>
        <v>1.5767</v>
      </c>
      <c r="G453" s="69">
        <f ca="1">IF(L452="","",G452+TabelaCalculo[[#This Row],[BACEN-SÉRIE 29543]])</f>
        <v>1.0403739599999995</v>
      </c>
      <c r="H453" s="46">
        <v>0.77</v>
      </c>
      <c r="I453" s="62">
        <v>23.255704999999999</v>
      </c>
      <c r="J453" s="62">
        <v>1.9448160000000001</v>
      </c>
      <c r="K453" s="62">
        <v>23.255704999999999</v>
      </c>
      <c r="L453" s="80">
        <v>1.4999999999999902E-2</v>
      </c>
      <c r="M453" s="91">
        <f ca="1">MAX(0,-1+ROUND((1+L452)/ROUND(OFFSET(A453,0,FORMULÁRIO!$E$10-1)/OFFSET(A452,0,FORMULÁRIO!$E$10-1),4),8))</f>
        <v>6.6600400000000892E-3</v>
      </c>
      <c r="N453" s="46"/>
    </row>
    <row r="454" spans="1:14" x14ac:dyDescent="0.25">
      <c r="A454" s="59">
        <v>37104</v>
      </c>
      <c r="B454" s="62"/>
      <c r="C454" s="45"/>
      <c r="D454" s="46">
        <v>9.83</v>
      </c>
      <c r="E454" s="78">
        <v>1.4999999999999902E-2</v>
      </c>
      <c r="F454" s="57">
        <f>TabelaCalculo[[#This Row],[SELIC]]+F453</f>
        <v>1.5916999999999999</v>
      </c>
      <c r="G454" s="69">
        <f ca="1">IF(L453="","",G453+TabelaCalculo[[#This Row],[BACEN-SÉRIE 29543]])</f>
        <v>1.0442311499999994</v>
      </c>
      <c r="H454" s="46">
        <v>0.78</v>
      </c>
      <c r="I454" s="62">
        <v>23.513843000000001</v>
      </c>
      <c r="J454" s="62">
        <v>1.9630970000000001</v>
      </c>
      <c r="K454" s="62">
        <v>23.513843000000001</v>
      </c>
      <c r="L454" s="80">
        <v>1.6000000000000014E-2</v>
      </c>
      <c r="M454" s="91">
        <f ca="1">MAX(0,-1+ROUND((1+L453)/ROUND(OFFSET(A454,0,FORMULÁRIO!$E$10-1)/OFFSET(A453,0,FORMULÁRIO!$E$10-1),4),8))</f>
        <v>3.8571899999999548E-3</v>
      </c>
      <c r="N454" s="46"/>
    </row>
    <row r="455" spans="1:14" x14ac:dyDescent="0.25">
      <c r="A455" s="59">
        <v>37135</v>
      </c>
      <c r="B455" s="62"/>
      <c r="C455" s="45"/>
      <c r="D455" s="46">
        <v>9.83</v>
      </c>
      <c r="E455" s="78">
        <v>1.6000000000000014E-2</v>
      </c>
      <c r="F455" s="57">
        <f>TabelaCalculo[[#This Row],[SELIC]]+F454</f>
        <v>1.6076999999999999</v>
      </c>
      <c r="G455" s="69">
        <f ca="1">IF(L454="","",G454+TabelaCalculo[[#This Row],[BACEN-SÉRIE 29543]])</f>
        <v>1.0522676599999994</v>
      </c>
      <c r="H455" s="46">
        <v>0.79</v>
      </c>
      <c r="I455" s="62">
        <v>23.699601999999999</v>
      </c>
      <c r="J455" s="62">
        <v>1.9862610000000001</v>
      </c>
      <c r="K455" s="62">
        <v>23.699601999999999</v>
      </c>
      <c r="L455" s="80">
        <v>1.3200000000000101E-2</v>
      </c>
      <c r="M455" s="91">
        <f ca="1">MAX(0,-1+ROUND((1+L454)/ROUND(OFFSET(A455,0,FORMULÁRIO!$E$10-1)/OFFSET(A454,0,FORMULÁRIO!$E$10-1),4),8))</f>
        <v>8.0365099999999412E-3</v>
      </c>
      <c r="N455" s="46"/>
    </row>
    <row r="456" spans="1:14" x14ac:dyDescent="0.25">
      <c r="A456" s="59">
        <v>37165</v>
      </c>
      <c r="B456" s="62"/>
      <c r="C456" s="45"/>
      <c r="D456" s="46">
        <v>9.83</v>
      </c>
      <c r="E456" s="78">
        <v>1.3200000000000101E-2</v>
      </c>
      <c r="F456" s="57">
        <f>TabelaCalculo[[#This Row],[SELIC]]+F455</f>
        <v>1.6209</v>
      </c>
      <c r="G456" s="69">
        <f ca="1">IF(L455="","",G455+TabelaCalculo[[#This Row],[BACEN-SÉRIE 29543]])</f>
        <v>1.0610291099999993</v>
      </c>
      <c r="H456" s="46">
        <v>0.8</v>
      </c>
      <c r="I456" s="62">
        <v>23.803879999999999</v>
      </c>
      <c r="J456" s="62">
        <v>1.993808</v>
      </c>
      <c r="K456" s="62">
        <v>23.803879999999999</v>
      </c>
      <c r="L456" s="80">
        <v>1.5300000000000091E-2</v>
      </c>
      <c r="M456" s="91">
        <f ca="1">MAX(0,-1+ROUND((1+L455)/ROUND(OFFSET(A456,0,FORMULÁRIO!$E$10-1)/OFFSET(A455,0,FORMULÁRIO!$E$10-1),4),8))</f>
        <v>8.7614499999999484E-3</v>
      </c>
      <c r="N456" s="46"/>
    </row>
    <row r="457" spans="1:14" x14ac:dyDescent="0.25">
      <c r="A457" s="59">
        <v>37196</v>
      </c>
      <c r="B457" s="62"/>
      <c r="C457" s="45"/>
      <c r="D457" s="46">
        <v>9.83</v>
      </c>
      <c r="E457" s="78">
        <v>1.5300000000000091E-2</v>
      </c>
      <c r="F457" s="57">
        <f>TabelaCalculo[[#This Row],[SELIC]]+F456</f>
        <v>1.6362000000000001</v>
      </c>
      <c r="G457" s="69">
        <f ca="1">IF(L456="","",G456+TabelaCalculo[[#This Row],[BACEN-SÉRIE 29543]])</f>
        <v>1.0668741699999993</v>
      </c>
      <c r="H457" s="46">
        <v>0.81</v>
      </c>
      <c r="I457" s="62">
        <v>24.027636000000001</v>
      </c>
      <c r="J457" s="62">
        <v>2.001185</v>
      </c>
      <c r="K457" s="62">
        <v>24.027636000000001</v>
      </c>
      <c r="L457" s="80">
        <v>1.3899999999999801E-2</v>
      </c>
      <c r="M457" s="91">
        <f ca="1">MAX(0,-1+ROUND((1+L456)/ROUND(OFFSET(A457,0,FORMULÁRIO!$E$10-1)/OFFSET(A456,0,FORMULÁRIO!$E$10-1),4),8))</f>
        <v>5.8450599999999575E-3</v>
      </c>
      <c r="N457" s="46"/>
    </row>
    <row r="458" spans="1:14" x14ac:dyDescent="0.25">
      <c r="A458" s="59">
        <v>37226</v>
      </c>
      <c r="B458" s="62"/>
      <c r="C458" s="45"/>
      <c r="D458" s="46">
        <v>9.83</v>
      </c>
      <c r="E458" s="78">
        <v>1.3899999999999801E-2</v>
      </c>
      <c r="F458" s="57">
        <f>TabelaCalculo[[#This Row],[SELIC]]+F457</f>
        <v>1.6500999999999999</v>
      </c>
      <c r="G458" s="69">
        <f ca="1">IF(L457="","",G457+TabelaCalculo[[#This Row],[BACEN-SÉRIE 29543]])</f>
        <v>1.0678614299999993</v>
      </c>
      <c r="H458" s="46">
        <v>0.82</v>
      </c>
      <c r="I458" s="62">
        <v>24.337592000000001</v>
      </c>
      <c r="J458" s="62">
        <v>2.0209959999999998</v>
      </c>
      <c r="K458" s="62">
        <v>24.337592000000001</v>
      </c>
      <c r="L458" s="80">
        <v>1.3900000000000023E-2</v>
      </c>
      <c r="M458" s="91">
        <f ca="1">MAX(0,-1+ROUND((1+L457)/ROUND(OFFSET(A458,0,FORMULÁRIO!$E$10-1)/OFFSET(A457,0,FORMULÁRIO!$E$10-1),4),8))</f>
        <v>9.8726000000004532E-4</v>
      </c>
      <c r="N458" s="46"/>
    </row>
    <row r="459" spans="1:14" x14ac:dyDescent="0.25">
      <c r="A459" s="59">
        <v>37257</v>
      </c>
      <c r="B459" s="62"/>
      <c r="C459" s="45"/>
      <c r="D459" s="46">
        <v>10.52</v>
      </c>
      <c r="E459" s="78">
        <v>1.3900000000000023E-2</v>
      </c>
      <c r="F459" s="57">
        <f>TabelaCalculo[[#This Row],[SELIC]]+F458</f>
        <v>1.6639999999999999</v>
      </c>
      <c r="G459" s="69">
        <f ca="1">IF(L458="","",G458+TabelaCalculo[[#This Row],[BACEN-SÉRIE 29543]])</f>
        <v>1.0743136799999993</v>
      </c>
      <c r="H459" s="46">
        <v>0.83</v>
      </c>
      <c r="I459" s="62">
        <v>24.517690000000002</v>
      </c>
      <c r="J459" s="62">
        <v>2.032111</v>
      </c>
      <c r="K459" s="62">
        <v>24.517690000000002</v>
      </c>
      <c r="L459" s="80">
        <v>1.5300000000000091E-2</v>
      </c>
      <c r="M459" s="91">
        <f ca="1">MAX(0,-1+ROUND((1+L458)/ROUND(OFFSET(A459,0,FORMULÁRIO!$E$10-1)/OFFSET(A458,0,FORMULÁRIO!$E$10-1),4),8))</f>
        <v>6.4522499999999372E-3</v>
      </c>
      <c r="N459" s="46"/>
    </row>
    <row r="460" spans="1:14" x14ac:dyDescent="0.25">
      <c r="A460" s="59">
        <v>37288</v>
      </c>
      <c r="B460" s="62"/>
      <c r="C460" s="45"/>
      <c r="D460" s="46">
        <v>10.52</v>
      </c>
      <c r="E460" s="78">
        <v>1.5300000000000091E-2</v>
      </c>
      <c r="F460" s="57">
        <f>TabelaCalculo[[#This Row],[SELIC]]+F459</f>
        <v>1.6793</v>
      </c>
      <c r="G460" s="69">
        <f ca="1">IF(L459="","",G459+TabelaCalculo[[#This Row],[BACEN-SÉRIE 29543]])</f>
        <v>1.0788649799999992</v>
      </c>
      <c r="H460" s="46">
        <v>0.84</v>
      </c>
      <c r="I460" s="62">
        <v>24.780028999999999</v>
      </c>
      <c r="J460" s="62">
        <v>2.0447099999999998</v>
      </c>
      <c r="K460" s="62">
        <v>24.780028999999999</v>
      </c>
      <c r="L460" s="80">
        <v>1.2499999999999956E-2</v>
      </c>
      <c r="M460" s="91">
        <f ca="1">MAX(0,-1+ROUND((1+L459)/ROUND(OFFSET(A460,0,FORMULÁRIO!$E$10-1)/OFFSET(A459,0,FORMULÁRIO!$E$10-1),4),8))</f>
        <v>4.5512999999999249E-3</v>
      </c>
      <c r="N460" s="46"/>
    </row>
    <row r="461" spans="1:14" x14ac:dyDescent="0.25">
      <c r="A461" s="59">
        <v>37316</v>
      </c>
      <c r="B461" s="62"/>
      <c r="C461" s="45"/>
      <c r="D461" s="46">
        <v>10.52</v>
      </c>
      <c r="E461" s="78">
        <v>1.2499999999999956E-2</v>
      </c>
      <c r="F461" s="57">
        <f>TabelaCalculo[[#This Row],[SELIC]]+F460</f>
        <v>1.6918</v>
      </c>
      <c r="G461" s="69">
        <f ca="1">IF(L460="","",G460+TabelaCalculo[[#This Row],[BACEN-SÉRIE 29543]])</f>
        <v>1.0882359299999993</v>
      </c>
      <c r="H461" s="46">
        <v>0.85</v>
      </c>
      <c r="I461" s="62">
        <v>24.856846999999998</v>
      </c>
      <c r="J461" s="62">
        <v>2.053706</v>
      </c>
      <c r="K461" s="62">
        <v>24.856846999999998</v>
      </c>
      <c r="L461" s="80">
        <v>1.3700000000000045E-2</v>
      </c>
      <c r="M461" s="91">
        <f ca="1">MAX(0,-1+ROUND((1+L460)/ROUND(OFFSET(A461,0,FORMULÁRIO!$E$10-1)/OFFSET(A460,0,FORMULÁRIO!$E$10-1),4),8))</f>
        <v>9.3709500000001E-3</v>
      </c>
      <c r="N461" s="46"/>
    </row>
    <row r="462" spans="1:14" x14ac:dyDescent="0.25">
      <c r="A462" s="59">
        <v>37347</v>
      </c>
      <c r="B462" s="62"/>
      <c r="C462" s="45"/>
      <c r="D462" s="46">
        <v>10.52</v>
      </c>
      <c r="E462" s="78">
        <v>1.3700000000000045E-2</v>
      </c>
      <c r="F462" s="57">
        <f>TabelaCalculo[[#This Row],[SELIC]]+F461</f>
        <v>1.7055</v>
      </c>
      <c r="G462" s="69">
        <f ca="1">IF(L461="","",G461+TabelaCalculo[[#This Row],[BACEN-SÉRIE 29543]])</f>
        <v>1.0956897199999993</v>
      </c>
      <c r="H462" s="46">
        <v>0.86</v>
      </c>
      <c r="I462" s="62">
        <v>25.010959</v>
      </c>
      <c r="J462" s="62">
        <v>2.0619200000000002</v>
      </c>
      <c r="K462" s="62">
        <v>25.010959</v>
      </c>
      <c r="L462" s="80">
        <v>1.4799999999999924E-2</v>
      </c>
      <c r="M462" s="91">
        <f ca="1">MAX(0,-1+ROUND((1+L461)/ROUND(OFFSET(A462,0,FORMULÁRIO!$E$10-1)/OFFSET(A461,0,FORMULÁRIO!$E$10-1),4),8))</f>
        <v>7.4537900000000157E-3</v>
      </c>
      <c r="N462" s="46"/>
    </row>
    <row r="463" spans="1:14" x14ac:dyDescent="0.25">
      <c r="A463" s="59">
        <v>37377</v>
      </c>
      <c r="B463" s="62"/>
      <c r="C463" s="45"/>
      <c r="D463" s="46">
        <v>10.52</v>
      </c>
      <c r="E463" s="78">
        <v>1.4799999999999924E-2</v>
      </c>
      <c r="F463" s="57">
        <f>TabelaCalculo[[#This Row],[SELIC]]+F462</f>
        <v>1.7202999999999999</v>
      </c>
      <c r="G463" s="69">
        <f ca="1">IF(L462="","",G462+TabelaCalculo[[#This Row],[BACEN-SÉRIE 29543]])</f>
        <v>1.1036356899999993</v>
      </c>
      <c r="H463" s="46">
        <v>0.87</v>
      </c>
      <c r="I463" s="62">
        <v>25.181032999999999</v>
      </c>
      <c r="J463" s="62">
        <v>2.0780020000000001</v>
      </c>
      <c r="K463" s="62">
        <v>25.181032999999999</v>
      </c>
      <c r="L463" s="80">
        <v>1.4100000000000001E-2</v>
      </c>
      <c r="M463" s="91">
        <f ca="1">MAX(0,-1+ROUND((1+L462)/ROUND(OFFSET(A463,0,FORMULÁRIO!$E$10-1)/OFFSET(A462,0,FORMULÁRIO!$E$10-1),4),8))</f>
        <v>7.9459699999999689E-3</v>
      </c>
      <c r="N463" s="46"/>
    </row>
    <row r="464" spans="1:14" x14ac:dyDescent="0.25">
      <c r="A464" s="59">
        <v>37408</v>
      </c>
      <c r="B464" s="62"/>
      <c r="C464" s="45"/>
      <c r="D464" s="46">
        <v>10.52</v>
      </c>
      <c r="E464" s="78">
        <v>1.4100000000000001E-2</v>
      </c>
      <c r="F464" s="57">
        <f>TabelaCalculo[[#This Row],[SELIC]]+F463</f>
        <v>1.7343999999999999</v>
      </c>
      <c r="G464" s="69">
        <f ca="1">IF(L463="","",G463+TabelaCalculo[[#This Row],[BACEN-SÉRIE 29543]])</f>
        <v>1.1168238199999994</v>
      </c>
      <c r="H464" s="46">
        <v>0.88</v>
      </c>
      <c r="I464" s="62">
        <v>25.203695</v>
      </c>
      <c r="J464" s="62">
        <v>2.0867290000000001</v>
      </c>
      <c r="K464" s="62">
        <v>25.203695</v>
      </c>
      <c r="L464" s="80">
        <v>1.330000000000009E-2</v>
      </c>
      <c r="M464" s="91">
        <f ca="1">MAX(0,-1+ROUND((1+L463)/ROUND(OFFSET(A464,0,FORMULÁRIO!$E$10-1)/OFFSET(A463,0,FORMULÁRIO!$E$10-1),4),8))</f>
        <v>1.3188130000000076E-2</v>
      </c>
      <c r="N464" s="46"/>
    </row>
    <row r="465" spans="1:14" x14ac:dyDescent="0.25">
      <c r="A465" s="59">
        <v>37438</v>
      </c>
      <c r="B465" s="62"/>
      <c r="C465" s="45"/>
      <c r="D465" s="46">
        <v>10.52</v>
      </c>
      <c r="E465" s="78">
        <v>1.330000000000009E-2</v>
      </c>
      <c r="F465" s="57">
        <f>TabelaCalculo[[#This Row],[SELIC]]+F464</f>
        <v>1.7477</v>
      </c>
      <c r="G465" s="69">
        <f ca="1">IF(L464="","",G464+TabelaCalculo[[#This Row],[BACEN-SÉRIE 29543]])</f>
        <v>1.1239801699999994</v>
      </c>
      <c r="H465" s="46">
        <v>0.89</v>
      </c>
      <c r="I465" s="62">
        <v>25.357437000000001</v>
      </c>
      <c r="J465" s="62">
        <v>2.0936149999999998</v>
      </c>
      <c r="K465" s="62">
        <v>25.357437000000001</v>
      </c>
      <c r="L465" s="80">
        <v>1.5399999999999858E-2</v>
      </c>
      <c r="M465" s="91">
        <f ca="1">MAX(0,-1+ROUND((1+L464)/ROUND(OFFSET(A465,0,FORMULÁRIO!$E$10-1)/OFFSET(A464,0,FORMULÁRIO!$E$10-1),4),8))</f>
        <v>7.1563500000000335E-3</v>
      </c>
      <c r="N465" s="46"/>
    </row>
    <row r="466" spans="1:14" x14ac:dyDescent="0.25">
      <c r="A466" s="59">
        <v>37469</v>
      </c>
      <c r="B466" s="62"/>
      <c r="C466" s="45"/>
      <c r="D466" s="46">
        <v>10.52</v>
      </c>
      <c r="E466" s="78">
        <v>1.5399999999999858E-2</v>
      </c>
      <c r="F466" s="57">
        <f>TabelaCalculo[[#This Row],[SELIC]]+F465</f>
        <v>1.7630999999999999</v>
      </c>
      <c r="G466" s="69">
        <f ca="1">IF(L465="","",G465+TabelaCalculo[[#This Row],[BACEN-SÉRIE 29543]])</f>
        <v>1.1278358299999993</v>
      </c>
      <c r="H466" s="46">
        <v>0.9</v>
      </c>
      <c r="I466" s="62">
        <v>25.649046999999999</v>
      </c>
      <c r="J466" s="62">
        <v>2.1097350000000001</v>
      </c>
      <c r="K466" s="62">
        <v>25.649046999999999</v>
      </c>
      <c r="L466" s="80">
        <v>1.440000000000019E-2</v>
      </c>
      <c r="M466" s="91">
        <f ca="1">MAX(0,-1+ROUND((1+L465)/ROUND(OFFSET(A466,0,FORMULÁRIO!$E$10-1)/OFFSET(A465,0,FORMULÁRIO!$E$10-1),4),8))</f>
        <v>3.8556599999999275E-3</v>
      </c>
      <c r="N466" s="46"/>
    </row>
    <row r="467" spans="1:14" x14ac:dyDescent="0.25">
      <c r="A467" s="59">
        <v>37500</v>
      </c>
      <c r="B467" s="62"/>
      <c r="C467" s="45"/>
      <c r="D467" s="46">
        <v>10.52</v>
      </c>
      <c r="E467" s="78">
        <v>1.440000000000019E-2</v>
      </c>
      <c r="F467" s="57">
        <f>TabelaCalculo[[#This Row],[SELIC]]+F466</f>
        <v>1.7775000000000001</v>
      </c>
      <c r="G467" s="69">
        <f ca="1">IF(L466="","",G466+TabelaCalculo[[#This Row],[BACEN-SÉRIE 29543]])</f>
        <v>1.1335863799999992</v>
      </c>
      <c r="H467" s="46">
        <v>0.91</v>
      </c>
      <c r="I467" s="62">
        <v>25.869627999999999</v>
      </c>
      <c r="J467" s="62">
        <v>2.1308319999999998</v>
      </c>
      <c r="K467" s="62">
        <v>25.869627999999999</v>
      </c>
      <c r="L467" s="80">
        <v>1.3799999999999812E-2</v>
      </c>
      <c r="M467" s="91">
        <f ca="1">MAX(0,-1+ROUND((1+L466)/ROUND(OFFSET(A467,0,FORMULÁRIO!$E$10-1)/OFFSET(A466,0,FORMULÁRIO!$E$10-1),4),8))</f>
        <v>5.7505499999999099E-3</v>
      </c>
      <c r="N467" s="46"/>
    </row>
    <row r="468" spans="1:14" x14ac:dyDescent="0.25">
      <c r="A468" s="59">
        <v>37530</v>
      </c>
      <c r="B468" s="62"/>
      <c r="C468" s="45"/>
      <c r="D468" s="46">
        <v>10.52</v>
      </c>
      <c r="E468" s="78">
        <v>1.3799999999999812E-2</v>
      </c>
      <c r="F468" s="57">
        <f>TabelaCalculo[[#This Row],[SELIC]]+F467</f>
        <v>1.7912999999999999</v>
      </c>
      <c r="G468" s="69">
        <f ca="1">IF(L467="","",G467+TabelaCalculo[[#This Row],[BACEN-SÉRIE 29543]])</f>
        <v>1.1390411099999993</v>
      </c>
      <c r="H468" s="46">
        <v>0.92</v>
      </c>
      <c r="I468" s="62">
        <v>26.084344999999999</v>
      </c>
      <c r="J468" s="62">
        <v>2.1440429999999999</v>
      </c>
      <c r="K468" s="62">
        <v>26.084344999999999</v>
      </c>
      <c r="L468" s="80">
        <v>1.6500000000000181E-2</v>
      </c>
      <c r="M468" s="91">
        <f ca="1">MAX(0,-1+ROUND((1+L467)/ROUND(OFFSET(A468,0,FORMULÁRIO!$E$10-1)/OFFSET(A467,0,FORMULÁRIO!$E$10-1),4),8))</f>
        <v>5.4547300000000742E-3</v>
      </c>
      <c r="N468" s="46"/>
    </row>
    <row r="469" spans="1:14" x14ac:dyDescent="0.25">
      <c r="A469" s="59">
        <v>37561</v>
      </c>
      <c r="B469" s="62"/>
      <c r="C469" s="45"/>
      <c r="D469" s="46">
        <v>10.52</v>
      </c>
      <c r="E469" s="78">
        <v>1.6500000000000181E-2</v>
      </c>
      <c r="F469" s="57">
        <f>TabelaCalculo[[#This Row],[SELIC]]+F468</f>
        <v>1.8078000000000001</v>
      </c>
      <c r="G469" s="69">
        <f ca="1">IF(L468="","",G468+TabelaCalculo[[#This Row],[BACEN-SÉRIE 29543]])</f>
        <v>1.1398287399999993</v>
      </c>
      <c r="H469" s="46">
        <v>0.93</v>
      </c>
      <c r="I469" s="62">
        <v>26.493869</v>
      </c>
      <c r="J469" s="62">
        <v>2.1633390000000001</v>
      </c>
      <c r="K469" s="62">
        <v>26.493869</v>
      </c>
      <c r="L469" s="80">
        <v>1.5399999999999858E-2</v>
      </c>
      <c r="M469" s="91">
        <f ca="1">MAX(0,-1+ROUND((1+L468)/ROUND(OFFSET(A469,0,FORMULÁRIO!$E$10-1)/OFFSET(A468,0,FORMULÁRIO!$E$10-1),4),8))</f>
        <v>7.8763000000003913E-4</v>
      </c>
      <c r="N469" s="46"/>
    </row>
    <row r="470" spans="1:14" x14ac:dyDescent="0.25">
      <c r="A470" s="59">
        <v>37591</v>
      </c>
      <c r="B470" s="62"/>
      <c r="C470" s="45"/>
      <c r="D470" s="46">
        <v>10.52</v>
      </c>
      <c r="E470" s="78">
        <v>1.5399999999999858E-2</v>
      </c>
      <c r="F470" s="57">
        <f>TabelaCalculo[[#This Row],[SELIC]]+F469</f>
        <v>1.8231999999999999</v>
      </c>
      <c r="G470" s="69">
        <f ca="1">IF(L469="","",G469+TabelaCalculo[[#This Row],[BACEN-SÉRIE 29543]])</f>
        <v>1.1398287399999993</v>
      </c>
      <c r="H470" s="46">
        <v>0.94</v>
      </c>
      <c r="I470" s="62">
        <v>27.392011</v>
      </c>
      <c r="J470" s="62">
        <v>2.2083360000000001</v>
      </c>
      <c r="K470" s="62">
        <v>27.392011</v>
      </c>
      <c r="L470" s="80">
        <v>1.7400000000000082E-2</v>
      </c>
      <c r="M470" s="91">
        <f ca="1">MAX(0,-1+ROUND((1+L469)/ROUND(OFFSET(A470,0,FORMULÁRIO!$E$10-1)/OFFSET(A469,0,FORMULÁRIO!$E$10-1),4),8))</f>
        <v>0</v>
      </c>
      <c r="N470" s="46"/>
    </row>
    <row r="471" spans="1:14" x14ac:dyDescent="0.25">
      <c r="A471" s="59">
        <v>37622</v>
      </c>
      <c r="B471" s="62"/>
      <c r="C471" s="45"/>
      <c r="D471" s="46">
        <v>11.49</v>
      </c>
      <c r="E471" s="78">
        <v>1.7400000000000082E-2</v>
      </c>
      <c r="F471" s="57">
        <f>TabelaCalculo[[#This Row],[SELIC]]+F470</f>
        <v>1.8406</v>
      </c>
      <c r="G471" s="69">
        <f ca="1">IF(L470="","",G470+TabelaCalculo[[#This Row],[BACEN-SÉRIE 29543]])</f>
        <v>1.1398287399999993</v>
      </c>
      <c r="H471" s="46">
        <v>0.95</v>
      </c>
      <c r="I471" s="62">
        <v>28.131595000000001</v>
      </c>
      <c r="J471" s="62">
        <v>2.27569</v>
      </c>
      <c r="K471" s="62">
        <v>28.131595000000001</v>
      </c>
      <c r="L471" s="80">
        <v>1.9700000000000051E-2</v>
      </c>
      <c r="M471" s="91">
        <f ca="1">MAX(0,-1+ROUND((1+L470)/ROUND(OFFSET(A471,0,FORMULÁRIO!$E$10-1)/OFFSET(A470,0,FORMULÁRIO!$E$10-1),4),8))</f>
        <v>0</v>
      </c>
      <c r="N471" s="46"/>
    </row>
    <row r="472" spans="1:14" x14ac:dyDescent="0.25">
      <c r="A472" s="59">
        <v>37653</v>
      </c>
      <c r="B472" s="62"/>
      <c r="C472" s="45"/>
      <c r="D472" s="46">
        <v>11.49</v>
      </c>
      <c r="E472" s="78">
        <v>1.9700000000000051E-2</v>
      </c>
      <c r="F472" s="57">
        <f>TabelaCalculo[[#This Row],[SELIC]]+F471</f>
        <v>1.8603000000000001</v>
      </c>
      <c r="G472" s="69">
        <f ca="1">IF(L471="","",G471+TabelaCalculo[[#This Row],[BACEN-SÉRIE 29543]])</f>
        <v>1.1398287399999993</v>
      </c>
      <c r="H472" s="46">
        <v>0.96</v>
      </c>
      <c r="I472" s="62">
        <v>28.826445</v>
      </c>
      <c r="J472" s="62">
        <v>2.320748</v>
      </c>
      <c r="K472" s="62">
        <v>28.826445</v>
      </c>
      <c r="L472" s="80">
        <v>1.8299999999999983E-2</v>
      </c>
      <c r="M472" s="91">
        <f ca="1">MAX(0,-1+ROUND((1+L471)/ROUND(OFFSET(A472,0,FORMULÁRIO!$E$10-1)/OFFSET(A471,0,FORMULÁRIO!$E$10-1),4),8))</f>
        <v>0</v>
      </c>
      <c r="N472" s="46"/>
    </row>
    <row r="473" spans="1:14" x14ac:dyDescent="0.25">
      <c r="A473" s="59">
        <v>37681</v>
      </c>
      <c r="B473" s="62"/>
      <c r="C473" s="45"/>
      <c r="D473" s="46">
        <v>11.49</v>
      </c>
      <c r="E473" s="78">
        <v>1.8299999999999983E-2</v>
      </c>
      <c r="F473" s="57">
        <f>TabelaCalculo[[#This Row],[SELIC]]+F472</f>
        <v>1.8786</v>
      </c>
      <c r="G473" s="69">
        <f ca="1">IF(L472="","",G472+TabelaCalculo[[#This Row],[BACEN-SÉRIE 29543]])</f>
        <v>1.1434754999999994</v>
      </c>
      <c r="H473" s="46">
        <v>0.97</v>
      </c>
      <c r="I473" s="62">
        <v>29.247311</v>
      </c>
      <c r="J473" s="62">
        <v>2.371572</v>
      </c>
      <c r="K473" s="62">
        <v>29.247311</v>
      </c>
      <c r="L473" s="80">
        <v>1.7800000000000038E-2</v>
      </c>
      <c r="M473" s="91">
        <f ca="1">MAX(0,-1+ROUND((1+L472)/ROUND(OFFSET(A473,0,FORMULÁRIO!$E$10-1)/OFFSET(A472,0,FORMULÁRIO!$E$10-1),4),8))</f>
        <v>3.6467600000000822E-3</v>
      </c>
      <c r="N473" s="46"/>
    </row>
    <row r="474" spans="1:14" x14ac:dyDescent="0.25">
      <c r="A474" s="59">
        <v>37712</v>
      </c>
      <c r="B474" s="62"/>
      <c r="C474" s="45"/>
      <c r="D474" s="46">
        <v>11.49</v>
      </c>
      <c r="E474" s="78">
        <v>1.7800000000000038E-2</v>
      </c>
      <c r="F474" s="57">
        <f>TabelaCalculo[[#This Row],[SELIC]]+F473</f>
        <v>1.8964000000000001</v>
      </c>
      <c r="G474" s="69">
        <f ca="1">IF(L473="","",G473+TabelaCalculo[[#This Row],[BACEN-SÉRIE 29543]])</f>
        <v>1.1475200899999993</v>
      </c>
      <c r="H474" s="46">
        <v>0.98</v>
      </c>
      <c r="I474" s="62">
        <v>29.647998999999999</v>
      </c>
      <c r="J474" s="62">
        <v>2.3986070000000002</v>
      </c>
      <c r="K474" s="62">
        <v>29.647998999999999</v>
      </c>
      <c r="L474" s="80">
        <v>1.8699999999999939E-2</v>
      </c>
      <c r="M474" s="91">
        <f ca="1">MAX(0,-1+ROUND((1+L473)/ROUND(OFFSET(A474,0,FORMULÁRIO!$E$10-1)/OFFSET(A473,0,FORMULÁRIO!$E$10-1),4),8))</f>
        <v>4.0445899999999035E-3</v>
      </c>
      <c r="N474" s="46"/>
    </row>
    <row r="475" spans="1:14" x14ac:dyDescent="0.25">
      <c r="A475" s="59">
        <v>37742</v>
      </c>
      <c r="B475" s="62"/>
      <c r="C475" s="45"/>
      <c r="D475" s="46">
        <v>11.49</v>
      </c>
      <c r="E475" s="78">
        <v>1.8699999999999939E-2</v>
      </c>
      <c r="F475" s="57">
        <f>TabelaCalculo[[#This Row],[SELIC]]+F474</f>
        <v>1.9151</v>
      </c>
      <c r="G475" s="69">
        <f ca="1">IF(L474="","",G474+TabelaCalculo[[#This Row],[BACEN-SÉRIE 29543]])</f>
        <v>1.1523533899999994</v>
      </c>
      <c r="H475" s="46">
        <v>0.99</v>
      </c>
      <c r="I475" s="62">
        <v>30.057141000000001</v>
      </c>
      <c r="J475" s="62">
        <v>2.425951</v>
      </c>
      <c r="K475" s="62">
        <v>30.057141000000001</v>
      </c>
      <c r="L475" s="80">
        <v>1.9700000000000051E-2</v>
      </c>
      <c r="M475" s="91">
        <f ca="1">MAX(0,-1+ROUND((1+L474)/ROUND(OFFSET(A475,0,FORMULÁRIO!$E$10-1)/OFFSET(A474,0,FORMULÁRIO!$E$10-1),4),8))</f>
        <v>4.8333000000000403E-3</v>
      </c>
      <c r="N475" s="46"/>
    </row>
    <row r="476" spans="1:14" x14ac:dyDescent="0.25">
      <c r="A476" s="59">
        <v>37773</v>
      </c>
      <c r="B476" s="62"/>
      <c r="C476" s="45"/>
      <c r="D476" s="46">
        <v>11.49</v>
      </c>
      <c r="E476" s="78">
        <v>1.9700000000000051E-2</v>
      </c>
      <c r="F476" s="57">
        <f>TabelaCalculo[[#This Row],[SELIC]]+F475</f>
        <v>1.9348000000000001</v>
      </c>
      <c r="G476" s="69">
        <f ca="1">IF(L475="","",G475+TabelaCalculo[[#This Row],[BACEN-SÉRIE 29543]])</f>
        <v>1.1620573199999993</v>
      </c>
      <c r="H476" s="46">
        <v>1</v>
      </c>
      <c r="I476" s="62">
        <v>30.354706</v>
      </c>
      <c r="J476" s="62">
        <v>2.4465710000000001</v>
      </c>
      <c r="K476" s="62">
        <v>30.354706</v>
      </c>
      <c r="L476" s="80">
        <v>1.859999999999995E-2</v>
      </c>
      <c r="M476" s="91">
        <f ca="1">MAX(0,-1+ROUND((1+L475)/ROUND(OFFSET(A476,0,FORMULÁRIO!$E$10-1)/OFFSET(A475,0,FORMULÁRIO!$E$10-1),4),8))</f>
        <v>9.7039299999999162E-3</v>
      </c>
      <c r="N476" s="46"/>
    </row>
    <row r="477" spans="1:14" x14ac:dyDescent="0.25">
      <c r="A477" s="59">
        <v>37803</v>
      </c>
      <c r="B477" s="62"/>
      <c r="C477" s="45"/>
      <c r="D477" s="46">
        <v>11.49</v>
      </c>
      <c r="E477" s="78">
        <v>1.859999999999995E-2</v>
      </c>
      <c r="F477" s="57">
        <f>TabelaCalculo[[#This Row],[SELIC]]+F476</f>
        <v>1.9534</v>
      </c>
      <c r="G477" s="69">
        <f ca="1">IF(L476="","",G476+TabelaCalculo[[#This Row],[BACEN-SÉRIE 29543]])</f>
        <v>1.1812688499999993</v>
      </c>
      <c r="H477" s="46">
        <v>1.01</v>
      </c>
      <c r="I477" s="62">
        <v>30.336493000000001</v>
      </c>
      <c r="J477" s="62">
        <v>2.451953</v>
      </c>
      <c r="K477" s="62">
        <v>30.336493000000001</v>
      </c>
      <c r="L477" s="80">
        <v>2.079999999999993E-2</v>
      </c>
      <c r="M477" s="91">
        <f ca="1">MAX(0,-1+ROUND((1+L476)/ROUND(OFFSET(A477,0,FORMULÁRIO!$E$10-1)/OFFSET(A476,0,FORMULÁRIO!$E$10-1),4),8))</f>
        <v>1.9211529999999977E-2</v>
      </c>
      <c r="N477" s="46"/>
    </row>
    <row r="478" spans="1:14" x14ac:dyDescent="0.25">
      <c r="A478" s="59">
        <v>37834</v>
      </c>
      <c r="B478" s="62"/>
      <c r="C478" s="45"/>
      <c r="D478" s="46">
        <v>11.49</v>
      </c>
      <c r="E478" s="78">
        <v>2.079999999999993E-2</v>
      </c>
      <c r="F478" s="57">
        <f>TabelaCalculo[[#This Row],[SELIC]]+F477</f>
        <v>1.9742</v>
      </c>
      <c r="G478" s="69">
        <f ca="1">IF(L477="","",G477+TabelaCalculo[[#This Row],[BACEN-SÉRIE 29543]])</f>
        <v>1.2016606899999993</v>
      </c>
      <c r="H478" s="46">
        <v>1.02</v>
      </c>
      <c r="I478" s="62">
        <v>30.348627</v>
      </c>
      <c r="J478" s="62">
        <v>2.4475389999999999</v>
      </c>
      <c r="K478" s="62">
        <v>30.348627</v>
      </c>
      <c r="L478" s="80">
        <v>1.7700000000000049E-2</v>
      </c>
      <c r="M478" s="91">
        <f ca="1">MAX(0,-1+ROUND((1+L477)/ROUND(OFFSET(A478,0,FORMULÁRIO!$E$10-1)/OFFSET(A477,0,FORMULÁRIO!$E$10-1),4),8))</f>
        <v>2.039184000000005E-2</v>
      </c>
      <c r="N478" s="46"/>
    </row>
    <row r="479" spans="1:14" x14ac:dyDescent="0.25">
      <c r="A479" s="59">
        <v>37865</v>
      </c>
      <c r="B479" s="62"/>
      <c r="C479" s="45"/>
      <c r="D479" s="46">
        <v>11.49</v>
      </c>
      <c r="E479" s="78">
        <v>1.7700000000000049E-2</v>
      </c>
      <c r="F479" s="57">
        <f>TabelaCalculo[[#This Row],[SELIC]]+F478</f>
        <v>1.9919</v>
      </c>
      <c r="G479" s="69">
        <f ca="1">IF(L478="","",G478+TabelaCalculo[[#This Row],[BACEN-SÉRIE 29543]])</f>
        <v>1.2175321199999993</v>
      </c>
      <c r="H479" s="46">
        <v>1.03</v>
      </c>
      <c r="I479" s="62">
        <v>30.403254</v>
      </c>
      <c r="J479" s="62">
        <v>2.4541469999999999</v>
      </c>
      <c r="K479" s="62">
        <v>30.403254</v>
      </c>
      <c r="L479" s="80">
        <v>1.6800000000000148E-2</v>
      </c>
      <c r="M479" s="91">
        <f ca="1">MAX(0,-1+ROUND((1+L478)/ROUND(OFFSET(A479,0,FORMULÁRIO!$E$10-1)/OFFSET(A478,0,FORMULÁRIO!$E$10-1),4),8))</f>
        <v>1.587143000000002E-2</v>
      </c>
      <c r="N479" s="46"/>
    </row>
    <row r="480" spans="1:14" x14ac:dyDescent="0.25">
      <c r="A480" s="59">
        <v>37895</v>
      </c>
      <c r="B480" s="62"/>
      <c r="C480" s="45"/>
      <c r="D480" s="46">
        <v>11.49</v>
      </c>
      <c r="E480" s="78">
        <v>1.6800000000000148E-2</v>
      </c>
      <c r="F480" s="57">
        <f>TabelaCalculo[[#This Row],[SELIC]]+F479</f>
        <v>2.0087000000000002</v>
      </c>
      <c r="G480" s="69">
        <f ca="1">IF(L479="","",G479+TabelaCalculo[[#This Row],[BACEN-SÉRIE 29543]])</f>
        <v>1.2260621699999994</v>
      </c>
      <c r="H480" s="46">
        <v>1.04</v>
      </c>
      <c r="I480" s="62">
        <v>30.652560000000001</v>
      </c>
      <c r="J480" s="62">
        <v>2.4681350000000002</v>
      </c>
      <c r="K480" s="62">
        <v>30.652560000000001</v>
      </c>
      <c r="L480" s="80">
        <v>1.639999999999997E-2</v>
      </c>
      <c r="M480" s="91">
        <f ca="1">MAX(0,-1+ROUND((1+L479)/ROUND(OFFSET(A480,0,FORMULÁRIO!$E$10-1)/OFFSET(A479,0,FORMULÁRIO!$E$10-1),4),8))</f>
        <v>8.5300500000000667E-3</v>
      </c>
      <c r="N480" s="46"/>
    </row>
    <row r="481" spans="1:14" x14ac:dyDescent="0.25">
      <c r="A481" s="59">
        <v>37926</v>
      </c>
      <c r="B481" s="62"/>
      <c r="C481" s="45"/>
      <c r="D481" s="46">
        <v>11.49</v>
      </c>
      <c r="E481" s="78">
        <v>1.639999999999997E-2</v>
      </c>
      <c r="F481" s="57">
        <f>TabelaCalculo[[#This Row],[SELIC]]+F480</f>
        <v>2.0251000000000001</v>
      </c>
      <c r="G481" s="69">
        <f ca="1">IF(L480="","",G480+TabelaCalculo[[#This Row],[BACEN-SÉRIE 29543]])</f>
        <v>1.2385136099999994</v>
      </c>
      <c r="H481" s="46">
        <v>1.05</v>
      </c>
      <c r="I481" s="62">
        <v>30.772103999999999</v>
      </c>
      <c r="J481" s="62">
        <v>2.4844240000000002</v>
      </c>
      <c r="K481" s="62">
        <v>30.772103999999999</v>
      </c>
      <c r="L481" s="80">
        <v>1.3399999999999856E-2</v>
      </c>
      <c r="M481" s="91">
        <f ca="1">MAX(0,-1+ROUND((1+L480)/ROUND(OFFSET(A481,0,FORMULÁRIO!$E$10-1)/OFFSET(A480,0,FORMULÁRIO!$E$10-1),4),8))</f>
        <v>1.245143999999998E-2</v>
      </c>
      <c r="N481" s="46"/>
    </row>
    <row r="482" spans="1:14" x14ac:dyDescent="0.25">
      <c r="A482" s="59">
        <v>37956</v>
      </c>
      <c r="B482" s="62"/>
      <c r="C482" s="45"/>
      <c r="D482" s="46">
        <v>11.49</v>
      </c>
      <c r="E482" s="78">
        <v>1.3399999999999856E-2</v>
      </c>
      <c r="F482" s="57">
        <f>TabelaCalculo[[#This Row],[SELIC]]+F481</f>
        <v>2.0385</v>
      </c>
      <c r="G482" s="69">
        <f ca="1">IF(L481="","",G481+TabelaCalculo[[#This Row],[BACEN-SÉRIE 29543]])</f>
        <v>1.2481778499999994</v>
      </c>
      <c r="H482" s="46">
        <v>1.06</v>
      </c>
      <c r="I482" s="62">
        <v>30.885960000000001</v>
      </c>
      <c r="J482" s="62">
        <v>2.4886469999999998</v>
      </c>
      <c r="K482" s="62">
        <v>30.885960000000001</v>
      </c>
      <c r="L482" s="80">
        <v>1.3700000000000045E-2</v>
      </c>
      <c r="M482" s="91">
        <f ca="1">MAX(0,-1+ROUND((1+L481)/ROUND(OFFSET(A482,0,FORMULÁRIO!$E$10-1)/OFFSET(A481,0,FORMULÁRIO!$E$10-1),4),8))</f>
        <v>9.6642399999999906E-3</v>
      </c>
      <c r="N482" s="46"/>
    </row>
    <row r="483" spans="1:14" x14ac:dyDescent="0.25">
      <c r="A483" s="59">
        <v>37987</v>
      </c>
      <c r="B483" s="62"/>
      <c r="C483" s="45"/>
      <c r="D483" s="46">
        <v>12.49</v>
      </c>
      <c r="E483" s="78">
        <v>1.3700000000000045E-2</v>
      </c>
      <c r="F483" s="57">
        <f>TabelaCalculo[[#This Row],[SELIC]]+F482</f>
        <v>2.0522</v>
      </c>
      <c r="G483" s="69">
        <f ca="1">IF(L482="","",G482+TabelaCalculo[[#This Row],[BACEN-SÉRIE 29543]])</f>
        <v>1.2564332699999994</v>
      </c>
      <c r="H483" s="46">
        <v>1.07</v>
      </c>
      <c r="I483" s="62">
        <v>31.052744000000001</v>
      </c>
      <c r="J483" s="62">
        <v>2.5000939999999998</v>
      </c>
      <c r="K483" s="62">
        <v>31.052744000000001</v>
      </c>
      <c r="L483" s="80">
        <v>1.2700000000000156E-2</v>
      </c>
      <c r="M483" s="91">
        <f ca="1">MAX(0,-1+ROUND((1+L482)/ROUND(OFFSET(A483,0,FORMULÁRIO!$E$10-1)/OFFSET(A482,0,FORMULÁRIO!$E$10-1),4),8))</f>
        <v>8.2554200000000133E-3</v>
      </c>
      <c r="N483" s="46"/>
    </row>
    <row r="484" spans="1:14" x14ac:dyDescent="0.25">
      <c r="A484" s="59">
        <v>38018</v>
      </c>
      <c r="B484" s="62"/>
      <c r="C484" s="45"/>
      <c r="D484" s="46">
        <v>12.49</v>
      </c>
      <c r="E484" s="78">
        <v>1.2700000000000156E-2</v>
      </c>
      <c r="F484" s="57">
        <f>TabelaCalculo[[#This Row],[SELIC]]+F483</f>
        <v>2.0649000000000002</v>
      </c>
      <c r="G484" s="69">
        <f ca="1">IF(L483="","",G483+TabelaCalculo[[#This Row],[BACEN-SÉRIE 29543]])</f>
        <v>1.2607970499999994</v>
      </c>
      <c r="H484" s="46">
        <v>1.08</v>
      </c>
      <c r="I484" s="62">
        <v>31.310480999999999</v>
      </c>
      <c r="J484" s="62">
        <v>2.5170940000000002</v>
      </c>
      <c r="K484" s="62">
        <v>31.310480999999999</v>
      </c>
      <c r="L484" s="80">
        <v>1.0799999999999699E-2</v>
      </c>
      <c r="M484" s="91">
        <f ca="1">MAX(0,-1+ROUND((1+L483)/ROUND(OFFSET(A484,0,FORMULÁRIO!$E$10-1)/OFFSET(A483,0,FORMULÁRIO!$E$10-1),4),8))</f>
        <v>4.3637800000000393E-3</v>
      </c>
      <c r="N484" s="46"/>
    </row>
    <row r="485" spans="1:14" x14ac:dyDescent="0.25">
      <c r="A485" s="59">
        <v>38047</v>
      </c>
      <c r="B485" s="62"/>
      <c r="C485" s="45"/>
      <c r="D485" s="46">
        <v>12.49</v>
      </c>
      <c r="E485" s="78">
        <v>1.0799999999999699E-2</v>
      </c>
      <c r="F485" s="57">
        <f>TabelaCalculo[[#This Row],[SELIC]]+F484</f>
        <v>2.0756999999999999</v>
      </c>
      <c r="G485" s="69">
        <f ca="1">IF(L484="","",G484+TabelaCalculo[[#This Row],[BACEN-SÉRIE 29543]])</f>
        <v>1.2676702399999995</v>
      </c>
      <c r="H485" s="46">
        <v>1.0900000000000001</v>
      </c>
      <c r="I485" s="62">
        <v>31.432590999999999</v>
      </c>
      <c r="J485" s="62">
        <v>2.5397470000000002</v>
      </c>
      <c r="K485" s="62">
        <v>31.432590999999999</v>
      </c>
      <c r="L485" s="80">
        <v>1.3800000000000257E-2</v>
      </c>
      <c r="M485" s="91">
        <f ca="1">MAX(0,-1+ROUND((1+L484)/ROUND(OFFSET(A485,0,FORMULÁRIO!$E$10-1)/OFFSET(A484,0,FORMULÁRIO!$E$10-1),4),8))</f>
        <v>6.8731900000000845E-3</v>
      </c>
      <c r="N485" s="46"/>
    </row>
    <row r="486" spans="1:14" x14ac:dyDescent="0.25">
      <c r="A486" s="59">
        <v>38078</v>
      </c>
      <c r="B486" s="62"/>
      <c r="C486" s="45"/>
      <c r="D486" s="46">
        <v>12.49</v>
      </c>
      <c r="E486" s="78">
        <v>1.3800000000000257E-2</v>
      </c>
      <c r="F486" s="57">
        <f>TabelaCalculo[[#This Row],[SELIC]]+F485</f>
        <v>2.0895000000000001</v>
      </c>
      <c r="G486" s="69">
        <f ca="1">IF(L485="","",G485+TabelaCalculo[[#This Row],[BACEN-SÉRIE 29543]])</f>
        <v>1.2757243299999994</v>
      </c>
      <c r="H486" s="46">
        <v>1.1000000000000001</v>
      </c>
      <c r="I486" s="62">
        <v>31.611756</v>
      </c>
      <c r="J486" s="62">
        <v>2.5499049999999999</v>
      </c>
      <c r="K486" s="62">
        <v>31.611756</v>
      </c>
      <c r="L486" s="80">
        <v>1.1800000000000033E-2</v>
      </c>
      <c r="M486" s="91">
        <f ca="1">MAX(0,-1+ROUND((1+L485)/ROUND(OFFSET(A486,0,FORMULÁRIO!$E$10-1)/OFFSET(A485,0,FORMULÁRIO!$E$10-1),4),8))</f>
        <v>8.0540899999999027E-3</v>
      </c>
      <c r="N486" s="46"/>
    </row>
    <row r="487" spans="1:14" x14ac:dyDescent="0.25">
      <c r="A487" s="59">
        <v>38108</v>
      </c>
      <c r="B487" s="62"/>
      <c r="C487" s="45"/>
      <c r="D487" s="46">
        <v>12.49</v>
      </c>
      <c r="E487" s="78">
        <v>1.1800000000000033E-2</v>
      </c>
      <c r="F487" s="57">
        <f>TabelaCalculo[[#This Row],[SELIC]]+F486</f>
        <v>2.1013000000000002</v>
      </c>
      <c r="G487" s="69">
        <f ca="1">IF(L486="","",G486+TabelaCalculo[[#This Row],[BACEN-SÉRIE 29543]])</f>
        <v>1.2833928899999993</v>
      </c>
      <c r="H487" s="46">
        <v>1.1100000000000001</v>
      </c>
      <c r="I487" s="62">
        <v>31.741364000000001</v>
      </c>
      <c r="J487" s="62">
        <v>2.5552589999999999</v>
      </c>
      <c r="K487" s="62">
        <v>31.741364000000001</v>
      </c>
      <c r="L487" s="80">
        <v>1.2299999999999756E-2</v>
      </c>
      <c r="M487" s="91">
        <f ca="1">MAX(0,-1+ROUND((1+L486)/ROUND(OFFSET(A487,0,FORMULÁRIO!$E$10-1)/OFFSET(A486,0,FORMULÁRIO!$E$10-1),4),8))</f>
        <v>7.6685599999999354E-3</v>
      </c>
      <c r="N487" s="46"/>
    </row>
    <row r="488" spans="1:14" x14ac:dyDescent="0.25">
      <c r="A488" s="59">
        <v>38139</v>
      </c>
      <c r="B488" s="62"/>
      <c r="C488" s="45"/>
      <c r="D488" s="46">
        <v>12.49</v>
      </c>
      <c r="E488" s="78">
        <v>1.2299999999999756E-2</v>
      </c>
      <c r="F488" s="57">
        <f>TabelaCalculo[[#This Row],[SELIC]]+F487</f>
        <v>2.1135999999999999</v>
      </c>
      <c r="G488" s="69">
        <f ca="1">IF(L487="","",G487+TabelaCalculo[[#This Row],[BACEN-SÉRIE 29543]])</f>
        <v>1.2916598199999993</v>
      </c>
      <c r="H488" s="46">
        <v>1.1200000000000001</v>
      </c>
      <c r="I488" s="62">
        <v>31.868328999999999</v>
      </c>
      <c r="J488" s="62">
        <v>2.5690569999999999</v>
      </c>
      <c r="K488" s="62">
        <v>31.868328999999999</v>
      </c>
      <c r="L488" s="80">
        <v>1.23000000000002E-2</v>
      </c>
      <c r="M488" s="91">
        <f ca="1">MAX(0,-1+ROUND((1+L487)/ROUND(OFFSET(A488,0,FORMULÁRIO!$E$10-1)/OFFSET(A487,0,FORMULÁRIO!$E$10-1),4),8))</f>
        <v>8.2669300000000057E-3</v>
      </c>
      <c r="N488" s="46"/>
    </row>
    <row r="489" spans="1:14" x14ac:dyDescent="0.25">
      <c r="A489" s="59">
        <v>38169</v>
      </c>
      <c r="B489" s="62"/>
      <c r="C489" s="45"/>
      <c r="D489" s="46">
        <v>12.49</v>
      </c>
      <c r="E489" s="78">
        <v>1.23000000000002E-2</v>
      </c>
      <c r="F489" s="57">
        <f>TabelaCalculo[[#This Row],[SELIC]]+F488</f>
        <v>2.1259000000000001</v>
      </c>
      <c r="G489" s="69">
        <f ca="1">IF(L488="","",G488+TabelaCalculo[[#This Row],[BACEN-SÉRIE 29543]])</f>
        <v>1.2989234999999995</v>
      </c>
      <c r="H489" s="46">
        <v>1.1299999999999999</v>
      </c>
      <c r="I489" s="62">
        <v>32.027670000000001</v>
      </c>
      <c r="J489" s="62">
        <v>2.5834429999999999</v>
      </c>
      <c r="K489" s="62">
        <v>32.027670000000001</v>
      </c>
      <c r="L489" s="80">
        <v>1.2899999999999689E-2</v>
      </c>
      <c r="M489" s="91">
        <f ca="1">MAX(0,-1+ROUND((1+L488)/ROUND(OFFSET(A489,0,FORMULÁRIO!$E$10-1)/OFFSET(A488,0,FORMULÁRIO!$E$10-1),4),8))</f>
        <v>7.2636800000001056E-3</v>
      </c>
      <c r="N489" s="46"/>
    </row>
    <row r="490" spans="1:14" x14ac:dyDescent="0.25">
      <c r="A490" s="59">
        <v>38200</v>
      </c>
      <c r="B490" s="62"/>
      <c r="C490" s="45"/>
      <c r="D490" s="46">
        <v>12.49</v>
      </c>
      <c r="E490" s="78">
        <v>1.2899999999999689E-2</v>
      </c>
      <c r="F490" s="57">
        <f>TabelaCalculo[[#This Row],[SELIC]]+F489</f>
        <v>2.1387999999999998</v>
      </c>
      <c r="G490" s="69">
        <f ca="1">IF(L489="","",G489+TabelaCalculo[[#This Row],[BACEN-SÉRIE 29543]])</f>
        <v>1.3044829199999994</v>
      </c>
      <c r="H490" s="46">
        <v>1.1399999999999999</v>
      </c>
      <c r="I490" s="62">
        <v>32.261471</v>
      </c>
      <c r="J490" s="62">
        <v>2.607469</v>
      </c>
      <c r="K490" s="62">
        <v>32.261471</v>
      </c>
      <c r="L490" s="80">
        <v>1.2900000000000134E-2</v>
      </c>
      <c r="M490" s="91">
        <f ca="1">MAX(0,-1+ROUND((1+L489)/ROUND(OFFSET(A490,0,FORMULÁRIO!$E$10-1)/OFFSET(A489,0,FORMULÁRIO!$E$10-1),4),8))</f>
        <v>5.5594199999999816E-3</v>
      </c>
      <c r="N490" s="46"/>
    </row>
    <row r="491" spans="1:14" x14ac:dyDescent="0.25">
      <c r="A491" s="59">
        <v>38231</v>
      </c>
      <c r="B491" s="62"/>
      <c r="C491" s="45"/>
      <c r="D491" s="46">
        <v>12.49</v>
      </c>
      <c r="E491" s="78">
        <v>1.2900000000000134E-2</v>
      </c>
      <c r="F491" s="57">
        <f>TabelaCalculo[[#This Row],[SELIC]]+F490</f>
        <v>2.1516999999999999</v>
      </c>
      <c r="G491" s="69">
        <f ca="1">IF(L490="","",G490+TabelaCalculo[[#This Row],[BACEN-SÉRIE 29543]])</f>
        <v>1.3123436199999994</v>
      </c>
      <c r="H491" s="46">
        <v>1.1499999999999999</v>
      </c>
      <c r="I491" s="62">
        <v>32.422778000000001</v>
      </c>
      <c r="J491" s="62">
        <v>2.6280679999999998</v>
      </c>
      <c r="K491" s="62">
        <v>32.422778000000001</v>
      </c>
      <c r="L491" s="80">
        <v>1.2500000000000178E-2</v>
      </c>
      <c r="M491" s="91">
        <f ca="1">MAX(0,-1+ROUND((1+L490)/ROUND(OFFSET(A491,0,FORMULÁRIO!$E$10-1)/OFFSET(A490,0,FORMULÁRIO!$E$10-1),4),8))</f>
        <v>7.8606999999999427E-3</v>
      </c>
      <c r="N491" s="46"/>
    </row>
    <row r="492" spans="1:14" x14ac:dyDescent="0.25">
      <c r="A492" s="59">
        <v>38261</v>
      </c>
      <c r="B492" s="62"/>
      <c r="C492" s="45"/>
      <c r="D492" s="46">
        <v>12.49</v>
      </c>
      <c r="E492" s="78">
        <v>1.2500000000000178E-2</v>
      </c>
      <c r="F492" s="57">
        <f>TabelaCalculo[[#This Row],[SELIC]]+F491</f>
        <v>2.1642000000000001</v>
      </c>
      <c r="G492" s="69">
        <f ca="1">IF(L491="","",G491+TabelaCalculo[[#This Row],[BACEN-SÉRIE 29543]])</f>
        <v>1.3231252899999995</v>
      </c>
      <c r="H492" s="46">
        <v>1.1599999999999999</v>
      </c>
      <c r="I492" s="62">
        <v>32.477896000000001</v>
      </c>
      <c r="J492" s="62">
        <v>2.6409449999999999</v>
      </c>
      <c r="K492" s="62">
        <v>32.477896000000001</v>
      </c>
      <c r="L492" s="80">
        <v>1.2099999999999778E-2</v>
      </c>
      <c r="M492" s="91">
        <f ca="1">MAX(0,-1+ROUND((1+L491)/ROUND(OFFSET(A492,0,FORMULÁRIO!$E$10-1)/OFFSET(A491,0,FORMULÁRIO!$E$10-1),4),8))</f>
        <v>1.0781670000000076E-2</v>
      </c>
      <c r="N492" s="46"/>
    </row>
    <row r="493" spans="1:14" x14ac:dyDescent="0.25">
      <c r="A493" s="59">
        <v>38292</v>
      </c>
      <c r="B493" s="62"/>
      <c r="C493" s="45"/>
      <c r="D493" s="46">
        <v>12.49</v>
      </c>
      <c r="E493" s="78">
        <v>1.2099999999999778E-2</v>
      </c>
      <c r="F493" s="57">
        <f>TabelaCalculo[[#This Row],[SELIC]]+F492</f>
        <v>2.1762999999999999</v>
      </c>
      <c r="G493" s="69">
        <f ca="1">IF(L492="","",G492+TabelaCalculo[[#This Row],[BACEN-SÉRIE 29543]])</f>
        <v>1.3335076399999994</v>
      </c>
      <c r="H493" s="46">
        <v>1.17</v>
      </c>
      <c r="I493" s="62">
        <v>32.533107999999999</v>
      </c>
      <c r="J493" s="62">
        <v>2.6493959999999999</v>
      </c>
      <c r="K493" s="62">
        <v>32.533107999999999</v>
      </c>
      <c r="L493" s="80">
        <v>1.2500000000000178E-2</v>
      </c>
      <c r="M493" s="91">
        <f ca="1">MAX(0,-1+ROUND((1+L492)/ROUND(OFFSET(A493,0,FORMULÁRIO!$E$10-1)/OFFSET(A492,0,FORMULÁRIO!$E$10-1),4),8))</f>
        <v>1.0382349999999985E-2</v>
      </c>
      <c r="N493" s="46"/>
    </row>
    <row r="494" spans="1:14" x14ac:dyDescent="0.25">
      <c r="A494" s="59">
        <v>38322</v>
      </c>
      <c r="B494" s="62"/>
      <c r="C494" s="45"/>
      <c r="D494" s="46">
        <v>12.49</v>
      </c>
      <c r="E494" s="78">
        <v>1.2500000000000178E-2</v>
      </c>
      <c r="F494" s="57">
        <f>TabelaCalculo[[#This Row],[SELIC]]+F493</f>
        <v>2.1888000000000001</v>
      </c>
      <c r="G494" s="69">
        <f ca="1">IF(L493="","",G493+TabelaCalculo[[#This Row],[BACEN-SÉRIE 29543]])</f>
        <v>1.3415721599999995</v>
      </c>
      <c r="H494" s="46">
        <v>1.18</v>
      </c>
      <c r="I494" s="62">
        <v>32.676253000000003</v>
      </c>
      <c r="J494" s="62">
        <v>2.6660870000000001</v>
      </c>
      <c r="K494" s="62">
        <v>32.676253000000003</v>
      </c>
      <c r="L494" s="80">
        <v>1.4799999999999702E-2</v>
      </c>
      <c r="M494" s="91">
        <f ca="1">MAX(0,-1+ROUND((1+L493)/ROUND(OFFSET(A494,0,FORMULÁRIO!$E$10-1)/OFFSET(A493,0,FORMULÁRIO!$E$10-1),4),8))</f>
        <v>8.0645200000000195E-3</v>
      </c>
      <c r="N494" s="46"/>
    </row>
    <row r="495" spans="1:14" x14ac:dyDescent="0.25">
      <c r="A495" s="59">
        <v>38353</v>
      </c>
      <c r="B495" s="62"/>
      <c r="C495" s="45"/>
      <c r="D495" s="46">
        <v>13.3</v>
      </c>
      <c r="E495" s="78">
        <v>1.4799999999999702E-2</v>
      </c>
      <c r="F495" s="57">
        <f>TabelaCalculo[[#This Row],[SELIC]]+F494</f>
        <v>2.2035999999999998</v>
      </c>
      <c r="G495" s="69">
        <f ca="1">IF(L494="","",G494+TabelaCalculo[[#This Row],[BACEN-SÉRIE 29543]])</f>
        <v>1.3477192899999995</v>
      </c>
      <c r="H495" s="46">
        <v>1.19</v>
      </c>
      <c r="I495" s="62">
        <v>32.957267999999999</v>
      </c>
      <c r="J495" s="62">
        <v>2.688482</v>
      </c>
      <c r="K495" s="62">
        <v>32.957267999999999</v>
      </c>
      <c r="L495" s="80">
        <v>1.3800000000000257E-2</v>
      </c>
      <c r="M495" s="91">
        <f ca="1">MAX(0,-1+ROUND((1+L494)/ROUND(OFFSET(A495,0,FORMULÁRIO!$E$10-1)/OFFSET(A494,0,FORMULÁRIO!$E$10-1),4),8))</f>
        <v>6.1471300000000006E-3</v>
      </c>
      <c r="N495" s="46"/>
    </row>
    <row r="496" spans="1:14" x14ac:dyDescent="0.25">
      <c r="A496" s="59">
        <v>38384</v>
      </c>
      <c r="B496" s="62"/>
      <c r="C496" s="45"/>
      <c r="D496" s="46">
        <v>13.3</v>
      </c>
      <c r="E496" s="78">
        <v>1.3800000000000257E-2</v>
      </c>
      <c r="F496" s="57">
        <f>TabelaCalculo[[#This Row],[SELIC]]+F495</f>
        <v>2.2174</v>
      </c>
      <c r="G496" s="69">
        <f ca="1">IF(L495="","",G495+TabelaCalculo[[#This Row],[BACEN-SÉRIE 29543]])</f>
        <v>1.3557733799999994</v>
      </c>
      <c r="H496" s="46">
        <v>1.2</v>
      </c>
      <c r="I496" s="62">
        <v>33.145124000000003</v>
      </c>
      <c r="J496" s="62">
        <v>2.706763</v>
      </c>
      <c r="K496" s="62">
        <v>33.145124000000003</v>
      </c>
      <c r="L496" s="80">
        <v>1.2199999999999989E-2</v>
      </c>
      <c r="M496" s="91">
        <f ca="1">MAX(0,-1+ROUND((1+L495)/ROUND(OFFSET(A496,0,FORMULÁRIO!$E$10-1)/OFFSET(A495,0,FORMULÁRIO!$E$10-1),4),8))</f>
        <v>8.0540899999999027E-3</v>
      </c>
      <c r="N496" s="46"/>
    </row>
    <row r="497" spans="1:14" x14ac:dyDescent="0.25">
      <c r="A497" s="59">
        <v>38412</v>
      </c>
      <c r="B497" s="62"/>
      <c r="C497" s="45"/>
      <c r="D497" s="46">
        <v>13.3</v>
      </c>
      <c r="E497" s="78">
        <v>1.2199999999999989E-2</v>
      </c>
      <c r="F497" s="57">
        <f>TabelaCalculo[[#This Row],[SELIC]]+F496</f>
        <v>2.2296</v>
      </c>
      <c r="G497" s="69">
        <f ca="1">IF(L496="","",G496+TabelaCalculo[[#This Row],[BACEN-SÉRIE 29543]])</f>
        <v>1.3635392099999994</v>
      </c>
      <c r="H497" s="46">
        <v>1.21</v>
      </c>
      <c r="I497" s="62">
        <v>33.290962</v>
      </c>
      <c r="J497" s="62">
        <v>2.7267929999999998</v>
      </c>
      <c r="K497" s="62">
        <v>33.290962</v>
      </c>
      <c r="L497" s="80">
        <v>1.5299999999999869E-2</v>
      </c>
      <c r="M497" s="91">
        <f ca="1">MAX(0,-1+ROUND((1+L496)/ROUND(OFFSET(A497,0,FORMULÁRIO!$E$10-1)/OFFSET(A496,0,FORMULÁRIO!$E$10-1),4),8))</f>
        <v>7.7658300000000846E-3</v>
      </c>
      <c r="N497" s="46"/>
    </row>
    <row r="498" spans="1:14" x14ac:dyDescent="0.25">
      <c r="A498" s="59">
        <v>38443</v>
      </c>
      <c r="B498" s="62"/>
      <c r="C498" s="45"/>
      <c r="D498" s="46">
        <v>13.3</v>
      </c>
      <c r="E498" s="78">
        <v>1.5299999999999869E-2</v>
      </c>
      <c r="F498" s="57">
        <f>TabelaCalculo[[#This Row],[SELIC]]+F497</f>
        <v>2.2448999999999999</v>
      </c>
      <c r="G498" s="69">
        <f ca="1">IF(L497="","",G497+TabelaCalculo[[#This Row],[BACEN-SÉRIE 29543]])</f>
        <v>1.3714812299999994</v>
      </c>
      <c r="H498" s="46">
        <v>1.22</v>
      </c>
      <c r="I498" s="62">
        <v>33.533985999999999</v>
      </c>
      <c r="J498" s="62">
        <v>2.7363360000000001</v>
      </c>
      <c r="K498" s="62">
        <v>33.533985999999999</v>
      </c>
      <c r="L498" s="80">
        <v>1.4100000000000001E-2</v>
      </c>
      <c r="M498" s="91">
        <f ca="1">MAX(0,-1+ROUND((1+L497)/ROUND(OFFSET(A498,0,FORMULÁRIO!$E$10-1)/OFFSET(A497,0,FORMULÁRIO!$E$10-1),4),8))</f>
        <v>7.9420199999999941E-3</v>
      </c>
      <c r="N498" s="46"/>
    </row>
    <row r="499" spans="1:14" x14ac:dyDescent="0.25">
      <c r="A499" s="59">
        <v>38473</v>
      </c>
      <c r="B499" s="62"/>
      <c r="C499" s="45"/>
      <c r="D499" s="46">
        <v>13.3</v>
      </c>
      <c r="E499" s="78">
        <v>1.4100000000000001E-2</v>
      </c>
      <c r="F499" s="57">
        <f>TabelaCalculo[[#This Row],[SELIC]]+F498</f>
        <v>2.2589999999999999</v>
      </c>
      <c r="G499" s="69">
        <f ca="1">IF(L498="","",G498+TabelaCalculo[[#This Row],[BACEN-SÉRIE 29543]])</f>
        <v>1.3764361399999994</v>
      </c>
      <c r="H499" s="46">
        <v>1.23</v>
      </c>
      <c r="I499" s="62">
        <v>33.839145000000002</v>
      </c>
      <c r="J499" s="62">
        <v>2.7565840000000001</v>
      </c>
      <c r="K499" s="62">
        <v>33.839145000000002</v>
      </c>
      <c r="L499" s="80">
        <v>1.5000000000000124E-2</v>
      </c>
      <c r="M499" s="91">
        <f ca="1">MAX(0,-1+ROUND((1+L498)/ROUND(OFFSET(A499,0,FORMULÁRIO!$E$10-1)/OFFSET(A498,0,FORMULÁRIO!$E$10-1),4),8))</f>
        <v>4.9549099999999235E-3</v>
      </c>
      <c r="N499" s="46"/>
    </row>
    <row r="500" spans="1:14" x14ac:dyDescent="0.25">
      <c r="A500" s="59">
        <v>38504</v>
      </c>
      <c r="B500" s="62"/>
      <c r="C500" s="45"/>
      <c r="D500" s="46">
        <v>13.3</v>
      </c>
      <c r="E500" s="78">
        <v>1.5000000000000124E-2</v>
      </c>
      <c r="F500" s="57">
        <f>TabelaCalculo[[#This Row],[SELIC]]+F499</f>
        <v>2.274</v>
      </c>
      <c r="G500" s="69">
        <f ca="1">IF(L499="","",G499+TabelaCalculo[[#This Row],[BACEN-SÉRIE 29543]])</f>
        <v>1.3843805299999994</v>
      </c>
      <c r="H500" s="46">
        <v>1.24</v>
      </c>
      <c r="I500" s="62">
        <v>34.076019000000002</v>
      </c>
      <c r="J500" s="62">
        <v>2.7794629999999998</v>
      </c>
      <c r="K500" s="62">
        <v>34.076019000000002</v>
      </c>
      <c r="L500" s="80">
        <v>1.5899999999999803E-2</v>
      </c>
      <c r="M500" s="91">
        <f ca="1">MAX(0,-1+ROUND((1+L499)/ROUND(OFFSET(A500,0,FORMULÁRIO!$E$10-1)/OFFSET(A499,0,FORMULÁRIO!$E$10-1),4),8))</f>
        <v>7.9443900000000234E-3</v>
      </c>
      <c r="N500" s="46"/>
    </row>
    <row r="501" spans="1:14" x14ac:dyDescent="0.25">
      <c r="A501" s="59">
        <v>38534</v>
      </c>
      <c r="B501" s="62"/>
      <c r="C501" s="45"/>
      <c r="D501" s="46">
        <v>13.3</v>
      </c>
      <c r="E501" s="78">
        <v>1.5899999999999803E-2</v>
      </c>
      <c r="F501" s="57">
        <f>TabelaCalculo[[#This Row],[SELIC]]+F500</f>
        <v>2.2898999999999998</v>
      </c>
      <c r="G501" s="69">
        <f ca="1">IF(L500="","",G500+TabelaCalculo[[#This Row],[BACEN-SÉRIE 29543]])</f>
        <v>1.4013992499999994</v>
      </c>
      <c r="H501" s="46">
        <v>1.25</v>
      </c>
      <c r="I501" s="62">
        <v>34.038535000000003</v>
      </c>
      <c r="J501" s="62">
        <v>2.7827980000000001</v>
      </c>
      <c r="K501" s="62">
        <v>34.038535000000003</v>
      </c>
      <c r="L501" s="80">
        <v>1.5100000000000335E-2</v>
      </c>
      <c r="M501" s="91">
        <f ca="1">MAX(0,-1+ROUND((1+L500)/ROUND(OFFSET(A501,0,FORMULÁRIO!$E$10-1)/OFFSET(A500,0,FORMULÁRIO!$E$10-1),4),8))</f>
        <v>1.7018720000000043E-2</v>
      </c>
      <c r="N501" s="46"/>
    </row>
    <row r="502" spans="1:14" x14ac:dyDescent="0.25">
      <c r="A502" s="59">
        <v>38565</v>
      </c>
      <c r="B502" s="62"/>
      <c r="C502" s="45"/>
      <c r="D502" s="46">
        <v>13.3</v>
      </c>
      <c r="E502" s="78">
        <v>1.5100000000000335E-2</v>
      </c>
      <c r="F502" s="57">
        <f>TabelaCalculo[[#This Row],[SELIC]]+F501</f>
        <v>2.3050000000000002</v>
      </c>
      <c r="G502" s="69">
        <f ca="1">IF(L501="","",G501+TabelaCalculo[[#This Row],[BACEN-SÉRIE 29543]])</f>
        <v>1.4161948099999995</v>
      </c>
      <c r="H502" s="46">
        <v>1.26</v>
      </c>
      <c r="I502" s="62">
        <v>34.048746000000001</v>
      </c>
      <c r="J502" s="62">
        <v>2.7858589999999999</v>
      </c>
      <c r="K502" s="62">
        <v>34.048746000000001</v>
      </c>
      <c r="L502" s="80">
        <v>1.6599999999999948E-2</v>
      </c>
      <c r="M502" s="91">
        <f ca="1">MAX(0,-1+ROUND((1+L501)/ROUND(OFFSET(A502,0,FORMULÁRIO!$E$10-1)/OFFSET(A501,0,FORMULÁRIO!$E$10-1),4),8))</f>
        <v>1.4795560000000041E-2</v>
      </c>
      <c r="N502" s="46"/>
    </row>
    <row r="503" spans="1:14" x14ac:dyDescent="0.25">
      <c r="A503" s="59">
        <v>38596</v>
      </c>
      <c r="B503" s="62"/>
      <c r="C503" s="45"/>
      <c r="D503" s="46">
        <v>13.3</v>
      </c>
      <c r="E503" s="78">
        <v>1.6599999999999948E-2</v>
      </c>
      <c r="F503" s="57">
        <f>TabelaCalculo[[#This Row],[SELIC]]+F502</f>
        <v>2.3216000000000001</v>
      </c>
      <c r="G503" s="69">
        <f ca="1">IF(L502="","",G502+TabelaCalculo[[#This Row],[BACEN-SÉRIE 29543]])</f>
        <v>1.4327948099999994</v>
      </c>
      <c r="H503" s="46">
        <v>1.27</v>
      </c>
      <c r="I503" s="62">
        <v>34.048746000000001</v>
      </c>
      <c r="J503" s="62">
        <v>2.7936589999999999</v>
      </c>
      <c r="K503" s="62">
        <v>34.048746000000001</v>
      </c>
      <c r="L503" s="80">
        <v>1.499999999999968E-2</v>
      </c>
      <c r="M503" s="91">
        <f ca="1">MAX(0,-1+ROUND((1+L502)/ROUND(OFFSET(A503,0,FORMULÁRIO!$E$10-1)/OFFSET(A502,0,FORMULÁRIO!$E$10-1),4),8))</f>
        <v>1.6599999999999948E-2</v>
      </c>
      <c r="N503" s="46"/>
    </row>
    <row r="504" spans="1:14" x14ac:dyDescent="0.25">
      <c r="A504" s="59">
        <v>38626</v>
      </c>
      <c r="B504" s="62"/>
      <c r="C504" s="45"/>
      <c r="D504" s="46">
        <v>13.3</v>
      </c>
      <c r="E504" s="78">
        <v>1.499999999999968E-2</v>
      </c>
      <c r="F504" s="57">
        <f>TabelaCalculo[[#This Row],[SELIC]]+F503</f>
        <v>2.3365999999999998</v>
      </c>
      <c r="G504" s="69">
        <f ca="1">IF(L503="","",G503+TabelaCalculo[[#This Row],[BACEN-SÉRIE 29543]])</f>
        <v>1.4462745899999994</v>
      </c>
      <c r="H504" s="46">
        <v>1.28</v>
      </c>
      <c r="I504" s="62">
        <v>34.099818999999997</v>
      </c>
      <c r="J504" s="62">
        <v>2.7981280000000002</v>
      </c>
      <c r="K504" s="62">
        <v>34.099818999999997</v>
      </c>
      <c r="L504" s="80">
        <v>1.4100000000000001E-2</v>
      </c>
      <c r="M504" s="91">
        <f ca="1">MAX(0,-1+ROUND((1+L503)/ROUND(OFFSET(A504,0,FORMULÁRIO!$E$10-1)/OFFSET(A503,0,FORMULÁRIO!$E$10-1),4),8))</f>
        <v>1.3479779999999941E-2</v>
      </c>
      <c r="N504" s="46"/>
    </row>
    <row r="505" spans="1:14" x14ac:dyDescent="0.25">
      <c r="A505" s="59">
        <v>38657</v>
      </c>
      <c r="B505" s="62"/>
      <c r="C505" s="45"/>
      <c r="D505" s="46">
        <v>13.3</v>
      </c>
      <c r="E505" s="78">
        <v>1.4100000000000001E-2</v>
      </c>
      <c r="F505" s="57">
        <f>TabelaCalculo[[#This Row],[SELIC]]+F504</f>
        <v>2.3506999999999998</v>
      </c>
      <c r="G505" s="69">
        <f ca="1">IF(L504="","",G504+TabelaCalculo[[#This Row],[BACEN-SÉRIE 29543]])</f>
        <v>1.4545267299999993</v>
      </c>
      <c r="H505" s="46">
        <v>1.29</v>
      </c>
      <c r="I505" s="62">
        <v>34.297597000000003</v>
      </c>
      <c r="J505" s="62">
        <v>2.8137970000000001</v>
      </c>
      <c r="K505" s="62">
        <v>34.297597000000003</v>
      </c>
      <c r="L505" s="80">
        <v>1.3800000000000257E-2</v>
      </c>
      <c r="M505" s="91">
        <f ca="1">MAX(0,-1+ROUND((1+L504)/ROUND(OFFSET(A505,0,FORMULÁRIO!$E$10-1)/OFFSET(A504,0,FORMULÁRIO!$E$10-1),4),8))</f>
        <v>8.2521399999999634E-3</v>
      </c>
      <c r="N505" s="46"/>
    </row>
    <row r="506" spans="1:14" x14ac:dyDescent="0.25">
      <c r="A506" s="59">
        <v>38687</v>
      </c>
      <c r="B506" s="62"/>
      <c r="C506" s="45"/>
      <c r="D506" s="46">
        <v>13.3</v>
      </c>
      <c r="E506" s="78">
        <v>1.3800000000000257E-2</v>
      </c>
      <c r="F506" s="57">
        <f>TabelaCalculo[[#This Row],[SELIC]]+F505</f>
        <v>2.3645</v>
      </c>
      <c r="G506" s="69">
        <f ca="1">IF(L505="","",G505+TabelaCalculo[[#This Row],[BACEN-SÉRIE 29543]])</f>
        <v>1.4628816099999993</v>
      </c>
      <c r="H506" s="46">
        <v>1.3</v>
      </c>
      <c r="I506" s="62">
        <v>34.482804000000002</v>
      </c>
      <c r="J506" s="62">
        <v>2.835744</v>
      </c>
      <c r="K506" s="62">
        <v>34.482804000000002</v>
      </c>
      <c r="L506" s="80">
        <v>1.4699999999999935E-2</v>
      </c>
      <c r="M506" s="91">
        <f ca="1">MAX(0,-1+ROUND((1+L505)/ROUND(OFFSET(A506,0,FORMULÁRIO!$E$10-1)/OFFSET(A505,0,FORMULÁRIO!$E$10-1),4),8))</f>
        <v>8.3548799999999535E-3</v>
      </c>
      <c r="N506" s="46"/>
    </row>
    <row r="507" spans="1:14" x14ac:dyDescent="0.25">
      <c r="A507" s="59">
        <v>38718</v>
      </c>
      <c r="B507" s="62"/>
      <c r="C507" s="45"/>
      <c r="D507" s="46">
        <v>13.93</v>
      </c>
      <c r="E507" s="78">
        <v>1.4699999999999935E-2</v>
      </c>
      <c r="F507" s="57">
        <f>TabelaCalculo[[#This Row],[SELIC]]+F506</f>
        <v>2.3792</v>
      </c>
      <c r="G507" s="69">
        <f ca="1">IF(L506="","",G506+TabelaCalculo[[#This Row],[BACEN-SÉRIE 29543]])</f>
        <v>1.4735389799999994</v>
      </c>
      <c r="H507" s="46">
        <v>1.31</v>
      </c>
      <c r="I507" s="62">
        <v>34.620735000000003</v>
      </c>
      <c r="J507" s="62">
        <v>2.8465189999999998</v>
      </c>
      <c r="K507" s="62">
        <v>34.620735000000003</v>
      </c>
      <c r="L507" s="80">
        <v>1.4299999999999979E-2</v>
      </c>
      <c r="M507" s="91">
        <f ca="1">MAX(0,-1+ROUND((1+L506)/ROUND(OFFSET(A507,0,FORMULÁRIO!$E$10-1)/OFFSET(A506,0,FORMULÁRIO!$E$10-1),4),8))</f>
        <v>1.065737000000011E-2</v>
      </c>
      <c r="N507" s="46"/>
    </row>
    <row r="508" spans="1:14" x14ac:dyDescent="0.25">
      <c r="A508" s="59">
        <v>38749</v>
      </c>
      <c r="B508" s="62"/>
      <c r="C508" s="45"/>
      <c r="D508" s="46">
        <v>13.93</v>
      </c>
      <c r="E508" s="78">
        <v>1.4299999999999979E-2</v>
      </c>
      <c r="F508" s="57">
        <f>TabelaCalculo[[#This Row],[SELIC]]+F507</f>
        <v>2.3935</v>
      </c>
      <c r="G508" s="69">
        <f ca="1">IF(L507="","",G507+TabelaCalculo[[#This Row],[BACEN-SÉRIE 29543]])</f>
        <v>1.4839992299999993</v>
      </c>
      <c r="H508" s="46">
        <v>1.32</v>
      </c>
      <c r="I508" s="62">
        <v>34.752293000000002</v>
      </c>
      <c r="J508" s="62">
        <v>2.8610359999999999</v>
      </c>
      <c r="K508" s="62">
        <v>34.752293000000002</v>
      </c>
      <c r="L508" s="80">
        <v>1.1499999999999844E-2</v>
      </c>
      <c r="M508" s="91">
        <f ca="1">MAX(0,-1+ROUND((1+L507)/ROUND(OFFSET(A508,0,FORMULÁRIO!$E$10-1)/OFFSET(A507,0,FORMULÁRIO!$E$10-1),4),8))</f>
        <v>1.0460249999999949E-2</v>
      </c>
      <c r="N508" s="46"/>
    </row>
    <row r="509" spans="1:14" x14ac:dyDescent="0.25">
      <c r="A509" s="59">
        <v>38777</v>
      </c>
      <c r="B509" s="62"/>
      <c r="C509" s="45"/>
      <c r="D509" s="46">
        <v>13.93</v>
      </c>
      <c r="E509" s="78">
        <v>1.1499999999999844E-2</v>
      </c>
      <c r="F509" s="57">
        <f>TabelaCalculo[[#This Row],[SELIC]]+F508</f>
        <v>2.4049999999999998</v>
      </c>
      <c r="G509" s="69">
        <f ca="1">IF(L508="","",G508+TabelaCalculo[[#This Row],[BACEN-SÉRIE 29543]])</f>
        <v>1.4931781199999994</v>
      </c>
      <c r="H509" s="46">
        <v>1.33</v>
      </c>
      <c r="I509" s="62">
        <v>34.832222999999999</v>
      </c>
      <c r="J509" s="62">
        <v>2.8759130000000002</v>
      </c>
      <c r="K509" s="62">
        <v>34.832222999999999</v>
      </c>
      <c r="L509" s="80">
        <v>1.4200000000000212E-2</v>
      </c>
      <c r="M509" s="91">
        <f ca="1">MAX(0,-1+ROUND((1+L508)/ROUND(OFFSET(A509,0,FORMULÁRIO!$E$10-1)/OFFSET(A508,0,FORMULÁRIO!$E$10-1),4),8))</f>
        <v>9.1788900000000506E-3</v>
      </c>
      <c r="N509" s="46"/>
    </row>
    <row r="510" spans="1:14" x14ac:dyDescent="0.25">
      <c r="A510" s="59">
        <v>38808</v>
      </c>
      <c r="B510" s="62"/>
      <c r="C510" s="45"/>
      <c r="D510" s="46">
        <v>13.93</v>
      </c>
      <c r="E510" s="78">
        <v>1.4200000000000212E-2</v>
      </c>
      <c r="F510" s="57">
        <f>TabelaCalculo[[#This Row],[SELIC]]+F509</f>
        <v>2.4192</v>
      </c>
      <c r="G510" s="69">
        <f ca="1">IF(L509="","",G509+TabelaCalculo[[#This Row],[BACEN-SÉRIE 29543]])</f>
        <v>1.5046471499999994</v>
      </c>
      <c r="H510" s="46">
        <v>1.34</v>
      </c>
      <c r="I510" s="62">
        <v>34.926270000000002</v>
      </c>
      <c r="J510" s="62">
        <v>2.8865530000000001</v>
      </c>
      <c r="K510" s="62">
        <v>34.926270000000002</v>
      </c>
      <c r="L510" s="80">
        <v>1.0800000000000143E-2</v>
      </c>
      <c r="M510" s="91">
        <f ca="1">MAX(0,-1+ROUND((1+L509)/ROUND(OFFSET(A510,0,FORMULÁRIO!$E$10-1)/OFFSET(A509,0,FORMULÁRIO!$E$10-1),4),8))</f>
        <v>1.1469029999999991E-2</v>
      </c>
      <c r="N510" s="46"/>
    </row>
    <row r="511" spans="1:14" x14ac:dyDescent="0.25">
      <c r="A511" s="59">
        <v>38838</v>
      </c>
      <c r="B511" s="62"/>
      <c r="C511" s="45"/>
      <c r="D511" s="46">
        <v>13.93</v>
      </c>
      <c r="E511" s="78">
        <v>1.0800000000000143E-2</v>
      </c>
      <c r="F511" s="57">
        <f>TabelaCalculo[[#This Row],[SELIC]]+F510</f>
        <v>2.4300000000000002</v>
      </c>
      <c r="G511" s="69">
        <f ca="1">IF(L510="","",G510+TabelaCalculo[[#This Row],[BACEN-SÉRIE 29543]])</f>
        <v>1.5142356399999994</v>
      </c>
      <c r="H511" s="46">
        <v>1.35</v>
      </c>
      <c r="I511" s="62">
        <v>34.968181000000001</v>
      </c>
      <c r="J511" s="62">
        <v>2.8914599999999999</v>
      </c>
      <c r="K511" s="62">
        <v>34.968181000000001</v>
      </c>
      <c r="L511" s="80">
        <v>1.2799999999999923E-2</v>
      </c>
      <c r="M511" s="91">
        <f ca="1">MAX(0,-1+ROUND((1+L510)/ROUND(OFFSET(A511,0,FORMULÁRIO!$E$10-1)/OFFSET(A510,0,FORMULÁRIO!$E$10-1),4),8))</f>
        <v>9.5884900000000606E-3</v>
      </c>
      <c r="N511" s="46"/>
    </row>
    <row r="512" spans="1:14" x14ac:dyDescent="0.25">
      <c r="A512" s="59">
        <v>38869</v>
      </c>
      <c r="B512" s="62"/>
      <c r="C512" s="45"/>
      <c r="D512" s="46">
        <v>13.93</v>
      </c>
      <c r="E512" s="78">
        <v>1.2799999999999923E-2</v>
      </c>
      <c r="F512" s="57">
        <f>TabelaCalculo[[#This Row],[SELIC]]+F511</f>
        <v>2.4428000000000001</v>
      </c>
      <c r="G512" s="69">
        <f ca="1">IF(L511="","",G511+TabelaCalculo[[#This Row],[BACEN-SÉRIE 29543]])</f>
        <v>1.5257207099999994</v>
      </c>
      <c r="H512" s="46">
        <v>1.36</v>
      </c>
      <c r="I512" s="62">
        <v>35.013638999999998</v>
      </c>
      <c r="J512" s="62">
        <v>2.8992659999999999</v>
      </c>
      <c r="K512" s="62">
        <v>35.013638999999998</v>
      </c>
      <c r="L512" s="80">
        <v>1.1800000000000033E-2</v>
      </c>
      <c r="M512" s="91">
        <f ca="1">MAX(0,-1+ROUND((1+L511)/ROUND(OFFSET(A512,0,FORMULÁRIO!$E$10-1)/OFFSET(A511,0,FORMULÁRIO!$E$10-1),4),8))</f>
        <v>1.1485069999999986E-2</v>
      </c>
      <c r="N512" s="46"/>
    </row>
    <row r="513" spans="1:14" x14ac:dyDescent="0.25">
      <c r="A513" s="59">
        <v>38899</v>
      </c>
      <c r="B513" s="62"/>
      <c r="C513" s="45"/>
      <c r="D513" s="46">
        <v>13.93</v>
      </c>
      <c r="E513" s="78">
        <v>1.1800000000000033E-2</v>
      </c>
      <c r="F513" s="57">
        <f>TabelaCalculo[[#This Row],[SELIC]]+F512</f>
        <v>2.4546000000000001</v>
      </c>
      <c r="G513" s="69">
        <f ca="1">IF(L512="","",G512+TabelaCalculo[[#This Row],[BACEN-SÉRIE 29543]])</f>
        <v>1.5382294699999994</v>
      </c>
      <c r="H513" s="46">
        <v>1.37</v>
      </c>
      <c r="I513" s="62">
        <v>34.989128999999998</v>
      </c>
      <c r="J513" s="62">
        <v>2.894917</v>
      </c>
      <c r="K513" s="62">
        <v>34.989128999999998</v>
      </c>
      <c r="L513" s="80">
        <v>1.1699999999999822E-2</v>
      </c>
      <c r="M513" s="91">
        <f ca="1">MAX(0,-1+ROUND((1+L512)/ROUND(OFFSET(A513,0,FORMULÁRIO!$E$10-1)/OFFSET(A512,0,FORMULÁRIO!$E$10-1),4),8))</f>
        <v>1.2508760000000008E-2</v>
      </c>
      <c r="N513" s="46"/>
    </row>
    <row r="514" spans="1:14" x14ac:dyDescent="0.25">
      <c r="A514" s="59">
        <v>38930</v>
      </c>
      <c r="B514" s="62"/>
      <c r="C514" s="45"/>
      <c r="D514" s="46">
        <v>13.93</v>
      </c>
      <c r="E514" s="78">
        <v>1.1699999999999822E-2</v>
      </c>
      <c r="F514" s="57">
        <f>TabelaCalculo[[#This Row],[SELIC]]+F513</f>
        <v>2.4662999999999999</v>
      </c>
      <c r="G514" s="69">
        <f ca="1">IF(L513="","",G513+TabelaCalculo[[#This Row],[BACEN-SÉRIE 29543]])</f>
        <v>1.5488178199999993</v>
      </c>
      <c r="H514" s="46">
        <v>1.38</v>
      </c>
      <c r="I514" s="62">
        <v>35.027616999999999</v>
      </c>
      <c r="J514" s="62">
        <v>2.8943379999999999</v>
      </c>
      <c r="K514" s="62">
        <v>35.027616999999999</v>
      </c>
      <c r="L514" s="80">
        <v>1.2599999999999945E-2</v>
      </c>
      <c r="M514" s="91">
        <f ca="1">MAX(0,-1+ROUND((1+L513)/ROUND(OFFSET(A514,0,FORMULÁRIO!$E$10-1)/OFFSET(A513,0,FORMULÁRIO!$E$10-1),4),8))</f>
        <v>1.0588349999999913E-2</v>
      </c>
      <c r="N514" s="46"/>
    </row>
    <row r="515" spans="1:14" x14ac:dyDescent="0.25">
      <c r="A515" s="59">
        <v>38961</v>
      </c>
      <c r="B515" s="62"/>
      <c r="C515" s="45"/>
      <c r="D515" s="46">
        <v>13.93</v>
      </c>
      <c r="E515" s="78">
        <v>1.2599999999999945E-2</v>
      </c>
      <c r="F515" s="57">
        <f>TabelaCalculo[[#This Row],[SELIC]]+F514</f>
        <v>2.4788999999999999</v>
      </c>
      <c r="G515" s="69">
        <f ca="1">IF(L514="","",G514+TabelaCalculo[[#This Row],[BACEN-SÉRIE 29543]])</f>
        <v>1.5616203799999993</v>
      </c>
      <c r="H515" s="46">
        <v>1.39</v>
      </c>
      <c r="I515" s="62">
        <v>35.020611000000002</v>
      </c>
      <c r="J515" s="62">
        <v>2.8998370000000002</v>
      </c>
      <c r="K515" s="62">
        <v>35.020611000000002</v>
      </c>
      <c r="L515" s="80">
        <v>1.0600000000000165E-2</v>
      </c>
      <c r="M515" s="91">
        <f ca="1">MAX(0,-1+ROUND((1+L514)/ROUND(OFFSET(A515,0,FORMULÁRIO!$E$10-1)/OFFSET(A514,0,FORMULÁRIO!$E$10-1),4),8))</f>
        <v>1.2802559999999907E-2</v>
      </c>
      <c r="N515" s="46"/>
    </row>
    <row r="516" spans="1:14" x14ac:dyDescent="0.25">
      <c r="A516" s="59">
        <v>38991</v>
      </c>
      <c r="B516" s="62"/>
      <c r="C516" s="45"/>
      <c r="D516" s="46">
        <v>13.93</v>
      </c>
      <c r="E516" s="78">
        <v>1.0600000000000165E-2</v>
      </c>
      <c r="F516" s="57">
        <f>TabelaCalculo[[#This Row],[SELIC]]+F515</f>
        <v>2.4895</v>
      </c>
      <c r="G516" s="69">
        <f ca="1">IF(L515="","",G515+TabelaCalculo[[#This Row],[BACEN-SÉRIE 29543]])</f>
        <v>1.5706059999999993</v>
      </c>
      <c r="H516" s="46">
        <v>1.4</v>
      </c>
      <c r="I516" s="62">
        <v>35.076642999999997</v>
      </c>
      <c r="J516" s="62">
        <v>2.9012859999999998</v>
      </c>
      <c r="K516" s="62">
        <v>35.076642999999997</v>
      </c>
      <c r="L516" s="80">
        <v>1.089999999999991E-2</v>
      </c>
      <c r="M516" s="91">
        <f ca="1">MAX(0,-1+ROUND((1+L515)/ROUND(OFFSET(A516,0,FORMULÁRIO!$E$10-1)/OFFSET(A515,0,FORMULÁRIO!$E$10-1),4),8))</f>
        <v>8.9856200000000275E-3</v>
      </c>
      <c r="N516" s="46"/>
    </row>
    <row r="517" spans="1:14" x14ac:dyDescent="0.25">
      <c r="A517" s="59">
        <v>39022</v>
      </c>
      <c r="B517" s="62"/>
      <c r="C517" s="45"/>
      <c r="D517" s="46">
        <v>13.93</v>
      </c>
      <c r="E517" s="78">
        <v>1.089999999999991E-2</v>
      </c>
      <c r="F517" s="57">
        <f>TabelaCalculo[[#This Row],[SELIC]]+F516</f>
        <v>2.5004</v>
      </c>
      <c r="G517" s="69">
        <f ca="1">IF(L516="","",G516+TabelaCalculo[[#This Row],[BACEN-SÉRIE 29543]])</f>
        <v>1.5771777399999993</v>
      </c>
      <c r="H517" s="46">
        <v>1.41</v>
      </c>
      <c r="I517" s="62">
        <v>35.227471999999999</v>
      </c>
      <c r="J517" s="62">
        <v>2.9096989999999998</v>
      </c>
      <c r="K517" s="62">
        <v>35.227471999999999</v>
      </c>
      <c r="L517" s="80">
        <v>1.0200000000000209E-2</v>
      </c>
      <c r="M517" s="91">
        <f ca="1">MAX(0,-1+ROUND((1+L516)/ROUND(OFFSET(A517,0,FORMULÁRIO!$E$10-1)/OFFSET(A516,0,FORMULÁRIO!$E$10-1),4),8))</f>
        <v>6.5717400000000481E-3</v>
      </c>
      <c r="N517" s="46"/>
    </row>
    <row r="518" spans="1:14" x14ac:dyDescent="0.25">
      <c r="A518" s="59">
        <v>39052</v>
      </c>
      <c r="B518" s="62"/>
      <c r="C518" s="45"/>
      <c r="D518" s="46">
        <v>13.93</v>
      </c>
      <c r="E518" s="78">
        <v>1.0200000000000209E-2</v>
      </c>
      <c r="F518" s="57">
        <f>TabelaCalculo[[#This Row],[SELIC]]+F517</f>
        <v>2.5106000000000002</v>
      </c>
      <c r="G518" s="69">
        <f ca="1">IF(L517="","",G517+TabelaCalculo[[#This Row],[BACEN-SÉRIE 29543]])</f>
        <v>1.5831526499999993</v>
      </c>
      <c r="H518" s="46">
        <v>1.42</v>
      </c>
      <c r="I518" s="62">
        <v>35.375427000000002</v>
      </c>
      <c r="J518" s="62">
        <v>2.9204639999999999</v>
      </c>
      <c r="K518" s="62">
        <v>35.375427000000002</v>
      </c>
      <c r="L518" s="80">
        <v>9.9000000000000199E-3</v>
      </c>
      <c r="M518" s="91">
        <f ca="1">MAX(0,-1+ROUND((1+L517)/ROUND(OFFSET(A518,0,FORMULÁRIO!$E$10-1)/OFFSET(A517,0,FORMULÁRIO!$E$10-1),4),8))</f>
        <v>5.9749099999999444E-3</v>
      </c>
      <c r="N518" s="46"/>
    </row>
    <row r="519" spans="1:14" x14ac:dyDescent="0.25">
      <c r="A519" s="59">
        <v>39083</v>
      </c>
      <c r="B519" s="62"/>
      <c r="C519" s="45"/>
      <c r="D519" s="46">
        <v>14.23</v>
      </c>
      <c r="E519" s="78">
        <v>9.9000000000000199E-3</v>
      </c>
      <c r="F519" s="57">
        <f>TabelaCalculo[[#This Row],[SELIC]]+F518</f>
        <v>2.5205000000000002</v>
      </c>
      <c r="G519" s="69">
        <f ca="1">IF(L518="","",G518+TabelaCalculo[[#This Row],[BACEN-SÉRIE 29543]])</f>
        <v>1.5868298499999993</v>
      </c>
      <c r="H519" s="46">
        <v>1.43</v>
      </c>
      <c r="I519" s="62">
        <v>35.594754000000002</v>
      </c>
      <c r="J519" s="62">
        <v>2.930685</v>
      </c>
      <c r="K519" s="62">
        <v>35.594754000000002</v>
      </c>
      <c r="L519" s="80">
        <v>1.0799999999999699E-2</v>
      </c>
      <c r="M519" s="91">
        <f ca="1">MAX(0,-1+ROUND((1+L518)/ROUND(OFFSET(A519,0,FORMULÁRIO!$E$10-1)/OFFSET(A518,0,FORMULÁRIO!$E$10-1),4),8))</f>
        <v>3.6772000000000471E-3</v>
      </c>
      <c r="N519" s="46"/>
    </row>
    <row r="520" spans="1:14" x14ac:dyDescent="0.25">
      <c r="A520" s="59">
        <v>39114</v>
      </c>
      <c r="B520" s="62"/>
      <c r="C520" s="45"/>
      <c r="D520" s="46">
        <v>14.23</v>
      </c>
      <c r="E520" s="78">
        <v>1.0799999999999699E-2</v>
      </c>
      <c r="F520" s="57">
        <f>TabelaCalculo[[#This Row],[SELIC]]+F519</f>
        <v>2.5312999999999999</v>
      </c>
      <c r="G520" s="69">
        <f ca="1">IF(L519="","",G519+TabelaCalculo[[#This Row],[BACEN-SÉRIE 29543]])</f>
        <v>1.5927010799999992</v>
      </c>
      <c r="H520" s="46">
        <v>1.44</v>
      </c>
      <c r="I520" s="62">
        <v>35.769168000000001</v>
      </c>
      <c r="J520" s="62">
        <v>2.9459240000000002</v>
      </c>
      <c r="K520" s="62">
        <v>35.769168000000001</v>
      </c>
      <c r="L520" s="80">
        <v>8.7000000000001521E-3</v>
      </c>
      <c r="M520" s="91">
        <f ca="1">MAX(0,-1+ROUND((1+L519)/ROUND(OFFSET(A520,0,FORMULÁRIO!$E$10-1)/OFFSET(A519,0,FORMULÁRIO!$E$10-1),4),8))</f>
        <v>5.871229999999894E-3</v>
      </c>
      <c r="N520" s="46"/>
    </row>
    <row r="521" spans="1:14" x14ac:dyDescent="0.25">
      <c r="A521" s="59">
        <v>39142</v>
      </c>
      <c r="B521" s="62"/>
      <c r="C521" s="45"/>
      <c r="D521" s="46">
        <v>14.23</v>
      </c>
      <c r="E521" s="78">
        <v>8.7000000000001521E-3</v>
      </c>
      <c r="F521" s="57">
        <f>TabelaCalculo[[#This Row],[SELIC]]+F520</f>
        <v>2.54</v>
      </c>
      <c r="G521" s="69">
        <f ca="1">IF(L520="","",G520+TabelaCalculo[[#This Row],[BACEN-SÉRIE 29543]])</f>
        <v>1.5971822599999992</v>
      </c>
      <c r="H521" s="46">
        <v>1.45</v>
      </c>
      <c r="I521" s="62">
        <v>35.919398000000001</v>
      </c>
      <c r="J521" s="62">
        <v>2.9594749999999999</v>
      </c>
      <c r="K521" s="62">
        <v>35.919398000000001</v>
      </c>
      <c r="L521" s="80">
        <v>1.0499999999999954E-2</v>
      </c>
      <c r="M521" s="91">
        <f ca="1">MAX(0,-1+ROUND((1+L520)/ROUND(OFFSET(A521,0,FORMULÁRIO!$E$10-1)/OFFSET(A520,0,FORMULÁRIO!$E$10-1),4),8))</f>
        <v>4.4811799999999735E-3</v>
      </c>
      <c r="N521" s="46"/>
    </row>
    <row r="522" spans="1:14" x14ac:dyDescent="0.25">
      <c r="A522" s="59">
        <v>39173</v>
      </c>
      <c r="B522" s="62"/>
      <c r="C522" s="45"/>
      <c r="D522" s="46">
        <v>14.23</v>
      </c>
      <c r="E522" s="78">
        <v>1.0499999999999954E-2</v>
      </c>
      <c r="F522" s="57">
        <f>TabelaCalculo[[#This Row],[SELIC]]+F521</f>
        <v>2.5505</v>
      </c>
      <c r="G522" s="69">
        <f ca="1">IF(L521="","",G521+TabelaCalculo[[#This Row],[BACEN-SÉRIE 29543]])</f>
        <v>1.6032555399999993</v>
      </c>
      <c r="H522" s="46">
        <v>1.46</v>
      </c>
      <c r="I522" s="62">
        <v>36.077443000000002</v>
      </c>
      <c r="J522" s="62">
        <v>2.9716079999999998</v>
      </c>
      <c r="K522" s="62">
        <v>36.077443000000002</v>
      </c>
      <c r="L522" s="80">
        <v>9.3999999999998529E-3</v>
      </c>
      <c r="M522" s="91">
        <f ca="1">MAX(0,-1+ROUND((1+L521)/ROUND(OFFSET(A522,0,FORMULÁRIO!$E$10-1)/OFFSET(A521,0,FORMULÁRIO!$E$10-1),4),8))</f>
        <v>6.0732800000000697E-3</v>
      </c>
      <c r="N522" s="46"/>
    </row>
    <row r="523" spans="1:14" x14ac:dyDescent="0.25">
      <c r="A523" s="59">
        <v>39203</v>
      </c>
      <c r="B523" s="62"/>
      <c r="C523" s="45"/>
      <c r="D523" s="46">
        <v>14.23</v>
      </c>
      <c r="E523" s="78">
        <v>9.3999999999998529E-3</v>
      </c>
      <c r="F523" s="57">
        <f>TabelaCalculo[[#This Row],[SELIC]]+F522</f>
        <v>2.5598999999999998</v>
      </c>
      <c r="G523" s="69">
        <f ca="1">IF(L522="","",G522+TabelaCalculo[[#This Row],[BACEN-SÉRIE 29543]])</f>
        <v>1.6100379099999993</v>
      </c>
      <c r="H523" s="46">
        <v>1.47</v>
      </c>
      <c r="I523" s="62">
        <v>36.171244000000002</v>
      </c>
      <c r="J523" s="62">
        <v>2.978145</v>
      </c>
      <c r="K523" s="62">
        <v>36.171244000000002</v>
      </c>
      <c r="L523" s="80">
        <v>1.0299999999999976E-2</v>
      </c>
      <c r="M523" s="91">
        <f ca="1">MAX(0,-1+ROUND((1+L522)/ROUND(OFFSET(A523,0,FORMULÁRIO!$E$10-1)/OFFSET(A522,0,FORMULÁRIO!$E$10-1),4),8))</f>
        <v>6.7823700000000375E-3</v>
      </c>
      <c r="N523" s="46"/>
    </row>
    <row r="524" spans="1:14" x14ac:dyDescent="0.25">
      <c r="A524" s="59">
        <v>39234</v>
      </c>
      <c r="B524" s="62"/>
      <c r="C524" s="45"/>
      <c r="D524" s="46">
        <v>14.23</v>
      </c>
      <c r="E524" s="78">
        <v>1.0299999999999976E-2</v>
      </c>
      <c r="F524" s="57">
        <f>TabelaCalculo[[#This Row],[SELIC]]+F523</f>
        <v>2.5701999999999998</v>
      </c>
      <c r="G524" s="69">
        <f ca="1">IF(L523="","",G523+TabelaCalculo[[#This Row],[BACEN-SÉRIE 29543]])</f>
        <v>1.6177179399999992</v>
      </c>
      <c r="H524" s="46">
        <v>1.48</v>
      </c>
      <c r="I524" s="62">
        <v>36.265289000000003</v>
      </c>
      <c r="J524" s="62">
        <v>2.9858880000000001</v>
      </c>
      <c r="K524" s="62">
        <v>36.265289000000003</v>
      </c>
      <c r="L524" s="80">
        <v>9.100000000000108E-3</v>
      </c>
      <c r="M524" s="91">
        <f ca="1">MAX(0,-1+ROUND((1+L523)/ROUND(OFFSET(A524,0,FORMULÁRIO!$E$10-1)/OFFSET(A523,0,FORMULÁRIO!$E$10-1),4),8))</f>
        <v>7.6800299999999488E-3</v>
      </c>
      <c r="N524" s="46"/>
    </row>
    <row r="525" spans="1:14" x14ac:dyDescent="0.25">
      <c r="A525" s="59">
        <v>39264</v>
      </c>
      <c r="B525" s="62"/>
      <c r="C525" s="45"/>
      <c r="D525" s="46">
        <v>14.23</v>
      </c>
      <c r="E525" s="78">
        <v>9.100000000000108E-3</v>
      </c>
      <c r="F525" s="57">
        <f>TabelaCalculo[[#This Row],[SELIC]]+F524</f>
        <v>2.5792999999999999</v>
      </c>
      <c r="G525" s="69">
        <f ca="1">IF(L524="","",G524+TabelaCalculo[[#This Row],[BACEN-SÉRIE 29543]])</f>
        <v>1.6236993999999993</v>
      </c>
      <c r="H525" s="46">
        <v>1.49</v>
      </c>
      <c r="I525" s="62">
        <v>36.377710999999998</v>
      </c>
      <c r="J525" s="62">
        <v>2.9945469999999998</v>
      </c>
      <c r="K525" s="62">
        <v>36.377710999999998</v>
      </c>
      <c r="L525" s="80">
        <v>9.7000000000000419E-3</v>
      </c>
      <c r="M525" s="91">
        <f ca="1">MAX(0,-1+ROUND((1+L524)/ROUND(OFFSET(A525,0,FORMULÁRIO!$E$10-1)/OFFSET(A524,0,FORMULÁRIO!$E$10-1),4),8))</f>
        <v>5.981460000000105E-3</v>
      </c>
      <c r="N525" s="46"/>
    </row>
    <row r="526" spans="1:14" x14ac:dyDescent="0.25">
      <c r="A526" s="59">
        <v>39295</v>
      </c>
      <c r="B526" s="62"/>
      <c r="C526" s="45"/>
      <c r="D526" s="46">
        <v>14.23</v>
      </c>
      <c r="E526" s="78">
        <v>9.7000000000000419E-3</v>
      </c>
      <c r="F526" s="57">
        <f>TabelaCalculo[[#This Row],[SELIC]]+F525</f>
        <v>2.589</v>
      </c>
      <c r="G526" s="69">
        <f ca="1">IF(L525="","",G525+TabelaCalculo[[#This Row],[BACEN-SÉRIE 29543]])</f>
        <v>1.6301786699999994</v>
      </c>
      <c r="H526" s="46">
        <v>1.5</v>
      </c>
      <c r="I526" s="62">
        <v>36.494118999999998</v>
      </c>
      <c r="J526" s="62">
        <v>3.0017330000000002</v>
      </c>
      <c r="K526" s="62">
        <v>36.494118999999998</v>
      </c>
      <c r="L526" s="80">
        <v>9.9000000000000199E-3</v>
      </c>
      <c r="M526" s="91">
        <f ca="1">MAX(0,-1+ROUND((1+L525)/ROUND(OFFSET(A526,0,FORMULÁRIO!$E$10-1)/OFFSET(A525,0,FORMULÁRIO!$E$10-1),4),8))</f>
        <v>6.4792700000000369E-3</v>
      </c>
      <c r="N526" s="46"/>
    </row>
    <row r="527" spans="1:14" x14ac:dyDescent="0.25">
      <c r="A527" s="59">
        <v>39326</v>
      </c>
      <c r="B527" s="62"/>
      <c r="C527" s="45"/>
      <c r="D527" s="46">
        <v>14.23</v>
      </c>
      <c r="E527" s="78">
        <v>9.9000000000000199E-3</v>
      </c>
      <c r="F527" s="57">
        <f>TabelaCalculo[[#This Row],[SELIC]]+F526</f>
        <v>2.5989</v>
      </c>
      <c r="G527" s="69">
        <f ca="1">IF(L526="","",G526+TabelaCalculo[[#This Row],[BACEN-SÉRIE 29543]])</f>
        <v>1.6341552099999994</v>
      </c>
      <c r="H527" s="46">
        <v>1.51</v>
      </c>
      <c r="I527" s="62">
        <v>36.709434000000002</v>
      </c>
      <c r="J527" s="62">
        <v>3.0143399999999998</v>
      </c>
      <c r="K527" s="62">
        <v>36.709434000000002</v>
      </c>
      <c r="L527" s="80">
        <v>8.0000000000000071E-3</v>
      </c>
      <c r="M527" s="91">
        <f ca="1">MAX(0,-1+ROUND((1+L526)/ROUND(OFFSET(A527,0,FORMULÁRIO!$E$10-1)/OFFSET(A526,0,FORMULÁRIO!$E$10-1),4),8))</f>
        <v>3.9765400000000284E-3</v>
      </c>
      <c r="N527" s="46"/>
    </row>
    <row r="528" spans="1:14" x14ac:dyDescent="0.25">
      <c r="A528" s="59">
        <v>39356</v>
      </c>
      <c r="B528" s="62"/>
      <c r="C528" s="45"/>
      <c r="D528" s="46">
        <v>14.23</v>
      </c>
      <c r="E528" s="78">
        <v>8.0000000000000071E-3</v>
      </c>
      <c r="F528" s="57">
        <f>TabelaCalculo[[#This Row],[SELIC]]+F527</f>
        <v>2.6069</v>
      </c>
      <c r="G528" s="69">
        <f ca="1">IF(L527="","",G527+TabelaCalculo[[#This Row],[BACEN-SÉRIE 29543]])</f>
        <v>1.6396414899999994</v>
      </c>
      <c r="H528" s="46">
        <v>1.52</v>
      </c>
      <c r="I528" s="62">
        <v>36.801206999999998</v>
      </c>
      <c r="J528" s="62">
        <v>3.0230809999999999</v>
      </c>
      <c r="K528" s="62">
        <v>36.801206999999998</v>
      </c>
      <c r="L528" s="80">
        <v>9.300000000000086E-3</v>
      </c>
      <c r="M528" s="91">
        <f ca="1">MAX(0,-1+ROUND((1+L527)/ROUND(OFFSET(A528,0,FORMULÁRIO!$E$10-1)/OFFSET(A527,0,FORMULÁRIO!$E$10-1),4),8))</f>
        <v>5.4862799999999545E-3</v>
      </c>
      <c r="N528" s="46"/>
    </row>
    <row r="529" spans="1:14" x14ac:dyDescent="0.25">
      <c r="A529" s="59">
        <v>39387</v>
      </c>
      <c r="B529" s="62"/>
      <c r="C529" s="45"/>
      <c r="D529" s="46">
        <v>14.23</v>
      </c>
      <c r="E529" s="78">
        <v>9.300000000000086E-3</v>
      </c>
      <c r="F529" s="57">
        <f>TabelaCalculo[[#This Row],[SELIC]]+F528</f>
        <v>2.6162000000000001</v>
      </c>
      <c r="G529" s="69">
        <f ca="1">IF(L528="","",G528+TabelaCalculo[[#This Row],[BACEN-SÉRIE 29543]])</f>
        <v>1.6459226499999993</v>
      </c>
      <c r="H529" s="46">
        <v>1.53</v>
      </c>
      <c r="I529" s="62">
        <v>36.911610000000003</v>
      </c>
      <c r="J529" s="62">
        <v>3.0303360000000001</v>
      </c>
      <c r="K529" s="62">
        <v>36.911610000000003</v>
      </c>
      <c r="L529" s="80">
        <v>8.3999999999999631E-3</v>
      </c>
      <c r="M529" s="91">
        <f ca="1">MAX(0,-1+ROUND((1+L528)/ROUND(OFFSET(A529,0,FORMULÁRIO!$E$10-1)/OFFSET(A528,0,FORMULÁRIO!$E$10-1),4),8))</f>
        <v>6.2811599999998968E-3</v>
      </c>
      <c r="N529" s="46"/>
    </row>
    <row r="530" spans="1:14" x14ac:dyDescent="0.25">
      <c r="A530" s="59">
        <v>39417</v>
      </c>
      <c r="B530" s="62"/>
      <c r="C530" s="45"/>
      <c r="D530" s="46">
        <v>14.23</v>
      </c>
      <c r="E530" s="78">
        <v>8.3999999999999631E-3</v>
      </c>
      <c r="F530" s="57">
        <f>TabelaCalculo[[#This Row],[SELIC]]+F529</f>
        <v>2.6246</v>
      </c>
      <c r="G530" s="69">
        <f ca="1">IF(L529="","",G529+TabelaCalculo[[#This Row],[BACEN-SÉRIE 29543]])</f>
        <v>1.6500050999999993</v>
      </c>
      <c r="H530" s="46">
        <v>1.54</v>
      </c>
      <c r="I530" s="62">
        <v>37.070329000000001</v>
      </c>
      <c r="J530" s="62">
        <v>3.0373049999999999</v>
      </c>
      <c r="K530" s="62">
        <v>37.070329000000001</v>
      </c>
      <c r="L530" s="80">
        <v>8.3999999999999631E-3</v>
      </c>
      <c r="M530" s="91">
        <f ca="1">MAX(0,-1+ROUND((1+L529)/ROUND(OFFSET(A530,0,FORMULÁRIO!$E$10-1)/OFFSET(A529,0,FORMULÁRIO!$E$10-1),4),8))</f>
        <v>4.0824500000000707E-3</v>
      </c>
      <c r="N530" s="46"/>
    </row>
    <row r="531" spans="1:14" x14ac:dyDescent="0.25">
      <c r="A531" s="59">
        <v>39448</v>
      </c>
      <c r="B531" s="62"/>
      <c r="C531" s="45"/>
      <c r="D531" s="46">
        <v>14.88</v>
      </c>
      <c r="E531" s="78">
        <v>8.3999999999999631E-3</v>
      </c>
      <c r="F531" s="57">
        <f>TabelaCalculo[[#This Row],[SELIC]]+F530</f>
        <v>2.633</v>
      </c>
      <c r="G531" s="69">
        <f ca="1">IF(L530="","",G530+TabelaCalculo[[#This Row],[BACEN-SÉRIE 29543]])</f>
        <v>1.6500050999999993</v>
      </c>
      <c r="H531" s="46">
        <v>1.55</v>
      </c>
      <c r="I531" s="62">
        <v>37.429910999999997</v>
      </c>
      <c r="J531" s="62">
        <v>3.0585659999999999</v>
      </c>
      <c r="K531" s="62">
        <v>37.429910999999997</v>
      </c>
      <c r="L531" s="80">
        <v>9.300000000000086E-3</v>
      </c>
      <c r="M531" s="91">
        <f ca="1">MAX(0,-1+ROUND((1+L530)/ROUND(OFFSET(A531,0,FORMULÁRIO!$E$10-1)/OFFSET(A530,0,FORMULÁRIO!$E$10-1),4),8))</f>
        <v>0</v>
      </c>
      <c r="N531" s="46"/>
    </row>
    <row r="532" spans="1:14" x14ac:dyDescent="0.25">
      <c r="A532" s="59">
        <v>39479</v>
      </c>
      <c r="B532" s="62"/>
      <c r="C532" s="45"/>
      <c r="D532" s="46">
        <v>14.88</v>
      </c>
      <c r="E532" s="78">
        <v>9.300000000000086E-3</v>
      </c>
      <c r="F532" s="57">
        <f>TabelaCalculo[[#This Row],[SELIC]]+F531</f>
        <v>2.6423000000000001</v>
      </c>
      <c r="G532" s="69">
        <f ca="1">IF(L531="","",G531+TabelaCalculo[[#This Row],[BACEN-SÉRIE 29543]])</f>
        <v>1.6523886499999993</v>
      </c>
      <c r="H532" s="46">
        <v>1.56</v>
      </c>
      <c r="I532" s="62">
        <v>37.688177000000003</v>
      </c>
      <c r="J532" s="62">
        <v>3.0799750000000001</v>
      </c>
      <c r="K532" s="62">
        <v>37.688177000000003</v>
      </c>
      <c r="L532" s="80">
        <v>8.0000000000000071E-3</v>
      </c>
      <c r="M532" s="91">
        <f ca="1">MAX(0,-1+ROUND((1+L531)/ROUND(OFFSET(A532,0,FORMULÁRIO!$E$10-1)/OFFSET(A531,0,FORMULÁRIO!$E$10-1),4),8))</f>
        <v>2.383550000000012E-3</v>
      </c>
      <c r="N532" s="46"/>
    </row>
    <row r="533" spans="1:14" x14ac:dyDescent="0.25">
      <c r="A533" s="59">
        <v>39508</v>
      </c>
      <c r="B533" s="62"/>
      <c r="C533" s="45"/>
      <c r="D533" s="46">
        <v>14.88</v>
      </c>
      <c r="E533" s="78">
        <v>8.0000000000000071E-3</v>
      </c>
      <c r="F533" s="57">
        <f>TabelaCalculo[[#This Row],[SELIC]]+F532</f>
        <v>2.6503000000000001</v>
      </c>
      <c r="G533" s="69">
        <f ca="1">IF(L532="","",G532+TabelaCalculo[[#This Row],[BACEN-SÉRIE 29543]])</f>
        <v>1.6555733599999993</v>
      </c>
      <c r="H533" s="46">
        <v>1.57</v>
      </c>
      <c r="I533" s="62">
        <v>37.869079999999997</v>
      </c>
      <c r="J533" s="62">
        <v>3.0996860000000002</v>
      </c>
      <c r="K533" s="62">
        <v>37.869079999999997</v>
      </c>
      <c r="L533" s="80">
        <v>8.3999999999999631E-3</v>
      </c>
      <c r="M533" s="91">
        <f ca="1">MAX(0,-1+ROUND((1+L532)/ROUND(OFFSET(A533,0,FORMULÁRIO!$E$10-1)/OFFSET(A532,0,FORMULÁRIO!$E$10-1),4),8))</f>
        <v>3.1847099999999795E-3</v>
      </c>
      <c r="N533" s="46"/>
    </row>
    <row r="534" spans="1:14" x14ac:dyDescent="0.25">
      <c r="A534" s="59">
        <v>39539</v>
      </c>
      <c r="B534" s="62"/>
      <c r="C534" s="45"/>
      <c r="D534" s="46">
        <v>14.88</v>
      </c>
      <c r="E534" s="78">
        <v>8.3999999999999631E-3</v>
      </c>
      <c r="F534" s="57">
        <f>TabelaCalculo[[#This Row],[SELIC]]+F533</f>
        <v>2.6587000000000001</v>
      </c>
      <c r="G534" s="69">
        <f ca="1">IF(L533="","",G533+TabelaCalculo[[#This Row],[BACEN-SÉRIE 29543]])</f>
        <v>1.6588566199999992</v>
      </c>
      <c r="H534" s="46">
        <v>1.58</v>
      </c>
      <c r="I534" s="62">
        <v>38.062212000000002</v>
      </c>
      <c r="J534" s="62">
        <v>3.1068150000000001</v>
      </c>
      <c r="K534" s="62">
        <v>38.062212000000002</v>
      </c>
      <c r="L534" s="80">
        <v>8.999999999999897E-3</v>
      </c>
      <c r="M534" s="91">
        <f ca="1">MAX(0,-1+ROUND((1+L533)/ROUND(OFFSET(A534,0,FORMULÁRIO!$E$10-1)/OFFSET(A533,0,FORMULÁRIO!$E$10-1),4),8))</f>
        <v>3.283259999999899E-3</v>
      </c>
      <c r="N534" s="46"/>
    </row>
    <row r="535" spans="1:14" x14ac:dyDescent="0.25">
      <c r="A535" s="59">
        <v>39569</v>
      </c>
      <c r="B535" s="62"/>
      <c r="C535" s="45"/>
      <c r="D535" s="46">
        <v>14.88</v>
      </c>
      <c r="E535" s="78">
        <v>8.999999999999897E-3</v>
      </c>
      <c r="F535" s="57">
        <f>TabelaCalculo[[#This Row],[SELIC]]+F534</f>
        <v>2.6677</v>
      </c>
      <c r="G535" s="69">
        <f ca="1">IF(L534="","",G534+TabelaCalculo[[#This Row],[BACEN-SÉRIE 29543]])</f>
        <v>1.6614400899999993</v>
      </c>
      <c r="H535" s="46">
        <v>1.59</v>
      </c>
      <c r="I535" s="62">
        <v>38.305810000000001</v>
      </c>
      <c r="J535" s="62">
        <v>3.1251449999999998</v>
      </c>
      <c r="K535" s="62">
        <v>38.305810000000001</v>
      </c>
      <c r="L535" s="80">
        <v>8.799999999999919E-3</v>
      </c>
      <c r="M535" s="91">
        <f ca="1">MAX(0,-1+ROUND((1+L534)/ROUND(OFFSET(A535,0,FORMULÁRIO!$E$10-1)/OFFSET(A534,0,FORMULÁRIO!$E$10-1),4),8))</f>
        <v>2.5834700000000321E-3</v>
      </c>
      <c r="N535" s="46"/>
    </row>
    <row r="536" spans="1:14" x14ac:dyDescent="0.25">
      <c r="A536" s="59">
        <v>39600</v>
      </c>
      <c r="B536" s="62"/>
      <c r="C536" s="45"/>
      <c r="D536" s="46">
        <v>14.88</v>
      </c>
      <c r="E536" s="78">
        <v>8.799999999999919E-3</v>
      </c>
      <c r="F536" s="57">
        <f>TabelaCalculo[[#This Row],[SELIC]]+F535</f>
        <v>2.6764999999999999</v>
      </c>
      <c r="G536" s="69">
        <f ca="1">IF(L535="","",G535+TabelaCalculo[[#This Row],[BACEN-SÉRIE 29543]])</f>
        <v>1.6614400899999993</v>
      </c>
      <c r="H536" s="46">
        <v>1.6</v>
      </c>
      <c r="I536" s="62">
        <v>38.673544999999997</v>
      </c>
      <c r="J536" s="62">
        <v>3.1426449999999999</v>
      </c>
      <c r="K536" s="62">
        <v>38.673544999999997</v>
      </c>
      <c r="L536" s="80">
        <v>9.600000000000275E-3</v>
      </c>
      <c r="M536" s="91">
        <f ca="1">MAX(0,-1+ROUND((1+L535)/ROUND(OFFSET(A536,0,FORMULÁRIO!$E$10-1)/OFFSET(A535,0,FORMULÁRIO!$E$10-1),4),8))</f>
        <v>0</v>
      </c>
      <c r="N536" s="46"/>
    </row>
    <row r="537" spans="1:14" x14ac:dyDescent="0.25">
      <c r="A537" s="59">
        <v>39630</v>
      </c>
      <c r="B537" s="62"/>
      <c r="C537" s="45"/>
      <c r="D537" s="46">
        <v>14.88</v>
      </c>
      <c r="E537" s="78">
        <v>9.600000000000275E-3</v>
      </c>
      <c r="F537" s="57">
        <f>TabelaCalculo[[#This Row],[SELIC]]+F536</f>
        <v>2.6861000000000002</v>
      </c>
      <c r="G537" s="69">
        <f ca="1">IF(L536="","",G536+TabelaCalculo[[#This Row],[BACEN-SÉRIE 29543]])</f>
        <v>1.6619355799999993</v>
      </c>
      <c r="H537" s="46">
        <v>1.61</v>
      </c>
      <c r="I537" s="62">
        <v>39.025474000000003</v>
      </c>
      <c r="J537" s="62">
        <v>3.170928</v>
      </c>
      <c r="K537" s="62">
        <v>39.025474000000003</v>
      </c>
      <c r="L537" s="80">
        <v>1.0699999999999932E-2</v>
      </c>
      <c r="M537" s="91">
        <f ca="1">MAX(0,-1+ROUND((1+L536)/ROUND(OFFSET(A537,0,FORMULÁRIO!$E$10-1)/OFFSET(A536,0,FORMULÁRIO!$E$10-1),4),8))</f>
        <v>4.9549000000004284E-4</v>
      </c>
      <c r="N537" s="46"/>
    </row>
    <row r="538" spans="1:14" x14ac:dyDescent="0.25">
      <c r="A538" s="59">
        <v>39661</v>
      </c>
      <c r="B538" s="62"/>
      <c r="C538" s="45"/>
      <c r="D538" s="46">
        <v>14.88</v>
      </c>
      <c r="E538" s="78">
        <v>1.0699999999999932E-2</v>
      </c>
      <c r="F538" s="57">
        <f>TabelaCalculo[[#This Row],[SELIC]]+F537</f>
        <v>2.6968000000000001</v>
      </c>
      <c r="G538" s="69">
        <f ca="1">IF(L537="","",G537+TabelaCalculo[[#This Row],[BACEN-SÉRIE 29543]])</f>
        <v>1.6668073199999993</v>
      </c>
      <c r="H538" s="46">
        <v>1.62</v>
      </c>
      <c r="I538" s="62">
        <v>39.251821</v>
      </c>
      <c r="J538" s="62">
        <v>3.1909040000000002</v>
      </c>
      <c r="K538" s="62">
        <v>39.251821</v>
      </c>
      <c r="L538" s="80">
        <v>1.0199999999999765E-2</v>
      </c>
      <c r="M538" s="91">
        <f ca="1">MAX(0,-1+ROUND((1+L537)/ROUND(OFFSET(A538,0,FORMULÁRIO!$E$10-1)/OFFSET(A537,0,FORMULÁRIO!$E$10-1),4),8))</f>
        <v>4.8717400000000133E-3</v>
      </c>
      <c r="N538" s="46"/>
    </row>
    <row r="539" spans="1:14" x14ac:dyDescent="0.25">
      <c r="A539" s="59">
        <v>39692</v>
      </c>
      <c r="B539" s="62"/>
      <c r="C539" s="45"/>
      <c r="D539" s="46">
        <v>14.88</v>
      </c>
      <c r="E539" s="78">
        <v>1.0199999999999765E-2</v>
      </c>
      <c r="F539" s="57">
        <f>TabelaCalculo[[#This Row],[SELIC]]+F538</f>
        <v>2.7069999999999999</v>
      </c>
      <c r="G539" s="69">
        <f ca="1">IF(L538="","",G538+TabelaCalculo[[#This Row],[BACEN-SÉRIE 29543]])</f>
        <v>1.6748903499999994</v>
      </c>
      <c r="H539" s="46">
        <v>1.63</v>
      </c>
      <c r="I539" s="62">
        <v>39.334249</v>
      </c>
      <c r="J539" s="62">
        <v>3.2020719999999998</v>
      </c>
      <c r="K539" s="62">
        <v>39.334249</v>
      </c>
      <c r="L539" s="80">
        <v>1.1000000000000121E-2</v>
      </c>
      <c r="M539" s="91">
        <f ca="1">MAX(0,-1+ROUND((1+L538)/ROUND(OFFSET(A539,0,FORMULÁRIO!$E$10-1)/OFFSET(A538,0,FORMULÁRIO!$E$10-1),4),8))</f>
        <v>8.0830300000001021E-3</v>
      </c>
      <c r="N539" s="46"/>
    </row>
    <row r="540" spans="1:14" x14ac:dyDescent="0.25">
      <c r="A540" s="59">
        <v>39722</v>
      </c>
      <c r="B540" s="62"/>
      <c r="C540" s="45"/>
      <c r="D540" s="46">
        <v>14.88</v>
      </c>
      <c r="E540" s="78">
        <v>1.1000000000000121E-2</v>
      </c>
      <c r="F540" s="57">
        <f>TabelaCalculo[[#This Row],[SELIC]]+F539</f>
        <v>2.718</v>
      </c>
      <c r="G540" s="69">
        <f ca="1">IF(L539="","",G539+TabelaCalculo[[#This Row],[BACEN-SÉRIE 29543]])</f>
        <v>1.6843761199999994</v>
      </c>
      <c r="H540" s="46">
        <v>1.64</v>
      </c>
      <c r="I540" s="62">
        <v>39.393250000000002</v>
      </c>
      <c r="J540" s="62">
        <v>3.2103969999999999</v>
      </c>
      <c r="K540" s="62">
        <v>39.393250000000002</v>
      </c>
      <c r="L540" s="80">
        <v>1.1800000000000033E-2</v>
      </c>
      <c r="M540" s="91">
        <f ca="1">MAX(0,-1+ROUND((1+L539)/ROUND(OFFSET(A540,0,FORMULÁRIO!$E$10-1)/OFFSET(A539,0,FORMULÁRIO!$E$10-1),4),8))</f>
        <v>9.485769999999949E-3</v>
      </c>
      <c r="N540" s="46"/>
    </row>
    <row r="541" spans="1:14" x14ac:dyDescent="0.25">
      <c r="A541" s="59">
        <v>39753</v>
      </c>
      <c r="B541" s="62"/>
      <c r="C541" s="45"/>
      <c r="D541" s="46">
        <v>14.88</v>
      </c>
      <c r="E541" s="78">
        <v>1.1800000000000033E-2</v>
      </c>
      <c r="F541" s="57">
        <f>TabelaCalculo[[#This Row],[SELIC]]+F540</f>
        <v>2.7298</v>
      </c>
      <c r="G541" s="69">
        <f ca="1">IF(L540="","",G540+TabelaCalculo[[#This Row],[BACEN-SÉRIE 29543]])</f>
        <v>1.6911422899999993</v>
      </c>
      <c r="H541" s="46">
        <v>1.65</v>
      </c>
      <c r="I541" s="62">
        <v>39.590215999999998</v>
      </c>
      <c r="J541" s="62">
        <v>3.2200280000000001</v>
      </c>
      <c r="K541" s="62">
        <v>39.590215999999998</v>
      </c>
      <c r="L541" s="80">
        <v>1.0200000000000209E-2</v>
      </c>
      <c r="M541" s="91">
        <f ca="1">MAX(0,-1+ROUND((1+L540)/ROUND(OFFSET(A541,0,FORMULÁRIO!$E$10-1)/OFFSET(A540,0,FORMULÁRIO!$E$10-1),4),8))</f>
        <v>6.7661699999999048E-3</v>
      </c>
      <c r="N541" s="46"/>
    </row>
    <row r="542" spans="1:14" x14ac:dyDescent="0.25">
      <c r="A542" s="59">
        <v>39783</v>
      </c>
      <c r="B542" s="62"/>
      <c r="C542" s="45"/>
      <c r="D542" s="46">
        <v>14.88</v>
      </c>
      <c r="E542" s="78">
        <v>1.0200000000000209E-2</v>
      </c>
      <c r="F542" s="57">
        <f>TabelaCalculo[[#This Row],[SELIC]]+F541</f>
        <v>2.74</v>
      </c>
      <c r="G542" s="69">
        <f ca="1">IF(L541="","",G541+TabelaCalculo[[#This Row],[BACEN-SÉRIE 29543]])</f>
        <v>1.6975180599999993</v>
      </c>
      <c r="H542" s="46">
        <v>1.66</v>
      </c>
      <c r="I542" s="62">
        <v>39.740658000000003</v>
      </c>
      <c r="J542" s="62">
        <v>3.2358060000000002</v>
      </c>
      <c r="K542" s="62">
        <v>39.740658000000003</v>
      </c>
      <c r="L542" s="80">
        <v>1.1199999999999655E-2</v>
      </c>
      <c r="M542" s="91">
        <f ca="1">MAX(0,-1+ROUND((1+L541)/ROUND(OFFSET(A542,0,FORMULÁRIO!$E$10-1)/OFFSET(A541,0,FORMULÁRIO!$E$10-1),4),8))</f>
        <v>6.3757700000000028E-3</v>
      </c>
      <c r="N542" s="46"/>
    </row>
    <row r="543" spans="1:14" x14ac:dyDescent="0.25">
      <c r="A543" s="59">
        <v>39814</v>
      </c>
      <c r="B543" s="62"/>
      <c r="C543" s="45"/>
      <c r="D543" s="46">
        <v>15.85</v>
      </c>
      <c r="E543" s="78">
        <v>1.1199999999999655E-2</v>
      </c>
      <c r="F543" s="57">
        <f>TabelaCalculo[[#This Row],[SELIC]]+F542</f>
        <v>2.7511999999999999</v>
      </c>
      <c r="G543" s="69">
        <f ca="1">IF(L542="","",G542+TabelaCalculo[[#This Row],[BACEN-SÉRIE 29543]])</f>
        <v>1.7057940599999992</v>
      </c>
      <c r="H543" s="46">
        <v>1.67</v>
      </c>
      <c r="I543" s="62">
        <v>39.855905</v>
      </c>
      <c r="J543" s="62">
        <v>3.2451889999999999</v>
      </c>
      <c r="K543" s="62">
        <v>39.855905</v>
      </c>
      <c r="L543" s="80">
        <v>1.0499999999999954E-2</v>
      </c>
      <c r="M543" s="91">
        <f ca="1">MAX(0,-1+ROUND((1+L542)/ROUND(OFFSET(A543,0,FORMULÁRIO!$E$10-1)/OFFSET(A542,0,FORMULÁRIO!$E$10-1),4),8))</f>
        <v>8.2759999999999501E-3</v>
      </c>
      <c r="N543" s="46"/>
    </row>
    <row r="544" spans="1:14" x14ac:dyDescent="0.25">
      <c r="A544" s="59">
        <v>39845</v>
      </c>
      <c r="B544" s="62"/>
      <c r="C544" s="45"/>
      <c r="D544" s="46">
        <v>15.85</v>
      </c>
      <c r="E544" s="78">
        <v>1.0499999999999954E-2</v>
      </c>
      <c r="F544" s="57">
        <f>TabelaCalculo[[#This Row],[SELIC]]+F543</f>
        <v>2.7616999999999998</v>
      </c>
      <c r="G544" s="69">
        <f ca="1">IF(L543="","",G543+TabelaCalculo[[#This Row],[BACEN-SÉRIE 29543]])</f>
        <v>1.7098679899999991</v>
      </c>
      <c r="H544" s="46">
        <v>1.68</v>
      </c>
      <c r="I544" s="62">
        <v>40.110982</v>
      </c>
      <c r="J544" s="62">
        <v>3.2581690000000001</v>
      </c>
      <c r="K544" s="62">
        <v>40.110982</v>
      </c>
      <c r="L544" s="80">
        <v>8.6000000000003851E-3</v>
      </c>
      <c r="M544" s="91">
        <f ca="1">MAX(0,-1+ROUND((1+L543)/ROUND(OFFSET(A544,0,FORMULÁRIO!$E$10-1)/OFFSET(A543,0,FORMULÁRIO!$E$10-1),4),8))</f>
        <v>4.0739299999998924E-3</v>
      </c>
      <c r="N544" s="46"/>
    </row>
    <row r="545" spans="1:14" x14ac:dyDescent="0.25">
      <c r="A545" s="59">
        <v>39873</v>
      </c>
      <c r="B545" s="62"/>
      <c r="C545" s="45"/>
      <c r="D545" s="46">
        <v>15.85</v>
      </c>
      <c r="E545" s="78">
        <v>8.6000000000003851E-3</v>
      </c>
      <c r="F545" s="57">
        <f>TabelaCalculo[[#This Row],[SELIC]]+F544</f>
        <v>2.7703000000000002</v>
      </c>
      <c r="G545" s="69">
        <f ca="1">IF(L544="","",G544+TabelaCalculo[[#This Row],[BACEN-SÉRIE 29543]])</f>
        <v>1.715350989999999</v>
      </c>
      <c r="H545" s="46">
        <v>1.69</v>
      </c>
      <c r="I545" s="62">
        <v>40.235326000000001</v>
      </c>
      <c r="J545" s="62">
        <v>3.2786949999999999</v>
      </c>
      <c r="K545" s="62">
        <v>40.235326000000001</v>
      </c>
      <c r="L545" s="80">
        <v>9.6999999999995978E-3</v>
      </c>
      <c r="M545" s="91">
        <f ca="1">MAX(0,-1+ROUND((1+L544)/ROUND(OFFSET(A545,0,FORMULÁRIO!$E$10-1)/OFFSET(A544,0,FORMULÁRIO!$E$10-1),4),8))</f>
        <v>5.4829999999999046E-3</v>
      </c>
      <c r="N545" s="46"/>
    </row>
    <row r="546" spans="1:14" x14ac:dyDescent="0.25">
      <c r="A546" s="59">
        <v>39904</v>
      </c>
      <c r="B546" s="62"/>
      <c r="C546" s="45"/>
      <c r="D546" s="46">
        <v>15.85</v>
      </c>
      <c r="E546" s="78">
        <v>9.6999999999995978E-3</v>
      </c>
      <c r="F546" s="57">
        <f>TabelaCalculo[[#This Row],[SELIC]]+F545</f>
        <v>2.78</v>
      </c>
      <c r="G546" s="69">
        <f ca="1">IF(L545="","",G545+TabelaCalculo[[#This Row],[BACEN-SÉRIE 29543]])</f>
        <v>1.723035619999999</v>
      </c>
      <c r="H546" s="46">
        <v>1.7</v>
      </c>
      <c r="I546" s="62">
        <v>40.315795999999999</v>
      </c>
      <c r="J546" s="62">
        <v>3.2823009999999999</v>
      </c>
      <c r="K546" s="62">
        <v>40.315795999999999</v>
      </c>
      <c r="L546" s="80">
        <v>8.4000000000004071E-3</v>
      </c>
      <c r="M546" s="91">
        <f ca="1">MAX(0,-1+ROUND((1+L545)/ROUND(OFFSET(A546,0,FORMULÁRIO!$E$10-1)/OFFSET(A545,0,FORMULÁRIO!$E$10-1),4),8))</f>
        <v>7.6846299999999701E-3</v>
      </c>
      <c r="N546" s="46"/>
    </row>
    <row r="547" spans="1:14" x14ac:dyDescent="0.25">
      <c r="A547" s="59">
        <v>39934</v>
      </c>
      <c r="B547" s="62"/>
      <c r="C547" s="45"/>
      <c r="D547" s="46">
        <v>15.85</v>
      </c>
      <c r="E547" s="78">
        <v>8.4000000000004071E-3</v>
      </c>
      <c r="F547" s="57">
        <f>TabelaCalculo[[#This Row],[SELIC]]+F546</f>
        <v>2.7884000000000002</v>
      </c>
      <c r="G547" s="69">
        <f ca="1">IF(L546="","",G546+TabelaCalculo[[#This Row],[BACEN-SÉRIE 29543]])</f>
        <v>1.7259197599999989</v>
      </c>
      <c r="H547" s="46">
        <v>1.71</v>
      </c>
      <c r="I547" s="62">
        <v>40.537531999999999</v>
      </c>
      <c r="J547" s="62">
        <v>3.294117</v>
      </c>
      <c r="K547" s="62">
        <v>40.537531999999999</v>
      </c>
      <c r="L547" s="80">
        <v>7.6999999999998181E-3</v>
      </c>
      <c r="M547" s="91">
        <f ca="1">MAX(0,-1+ROUND((1+L546)/ROUND(OFFSET(A547,0,FORMULÁRIO!$E$10-1)/OFFSET(A546,0,FORMULÁRIO!$E$10-1),4),8))</f>
        <v>2.884139999999924E-3</v>
      </c>
      <c r="N547" s="46"/>
    </row>
    <row r="548" spans="1:14" x14ac:dyDescent="0.25">
      <c r="A548" s="59">
        <v>39965</v>
      </c>
      <c r="B548" s="62"/>
      <c r="C548" s="45"/>
      <c r="D548" s="46">
        <v>15.85</v>
      </c>
      <c r="E548" s="78">
        <v>7.6999999999998181E-3</v>
      </c>
      <c r="F548" s="57">
        <f>TabelaCalculo[[#This Row],[SELIC]]+F547</f>
        <v>2.7961</v>
      </c>
      <c r="G548" s="69">
        <f ca="1">IF(L547="","",G547+TabelaCalculo[[#This Row],[BACEN-SÉRIE 29543]])</f>
        <v>1.7276096199999988</v>
      </c>
      <c r="H548" s="46">
        <v>1.72</v>
      </c>
      <c r="I548" s="62">
        <v>40.780757000000001</v>
      </c>
      <c r="J548" s="62">
        <v>3.3135520000000001</v>
      </c>
      <c r="K548" s="62">
        <v>40.780757000000001</v>
      </c>
      <c r="L548" s="80">
        <v>7.6000000000000512E-3</v>
      </c>
      <c r="M548" s="91">
        <f ca="1">MAX(0,-1+ROUND((1+L547)/ROUND(OFFSET(A548,0,FORMULÁRIO!$E$10-1)/OFFSET(A547,0,FORMULÁRIO!$E$10-1),4),8))</f>
        <v>1.689859999999932E-3</v>
      </c>
      <c r="N548" s="46"/>
    </row>
    <row r="549" spans="1:14" x14ac:dyDescent="0.25">
      <c r="A549" s="59">
        <v>39995</v>
      </c>
      <c r="B549" s="62"/>
      <c r="C549" s="45"/>
      <c r="D549" s="46">
        <v>15.85</v>
      </c>
      <c r="E549" s="78">
        <v>7.6000000000000512E-3</v>
      </c>
      <c r="F549" s="57">
        <f>TabelaCalculo[[#This Row],[SELIC]]+F548</f>
        <v>2.8037000000000001</v>
      </c>
      <c r="G549" s="69">
        <f ca="1">IF(L548="","",G548+TabelaCalculo[[#This Row],[BACEN-SÉRIE 29543]])</f>
        <v>1.7309953999999987</v>
      </c>
      <c r="H549" s="46">
        <v>1.73</v>
      </c>
      <c r="I549" s="62">
        <v>40.952036</v>
      </c>
      <c r="J549" s="62">
        <v>3.3261430000000001</v>
      </c>
      <c r="K549" s="62">
        <v>40.952036</v>
      </c>
      <c r="L549" s="80">
        <v>7.8999999999997961E-3</v>
      </c>
      <c r="M549" s="91">
        <f ca="1">MAX(0,-1+ROUND((1+L548)/ROUND(OFFSET(A549,0,FORMULÁRIO!$E$10-1)/OFFSET(A548,0,FORMULÁRIO!$E$10-1),4),8))</f>
        <v>3.3857799999998939E-3</v>
      </c>
      <c r="N549" s="46"/>
    </row>
    <row r="550" spans="1:14" x14ac:dyDescent="0.25">
      <c r="A550" s="59">
        <v>40026</v>
      </c>
      <c r="B550" s="62"/>
      <c r="C550" s="45"/>
      <c r="D550" s="46">
        <v>15.85</v>
      </c>
      <c r="E550" s="78">
        <v>7.8999999999997961E-3</v>
      </c>
      <c r="F550" s="57">
        <f>TabelaCalculo[[#This Row],[SELIC]]+F549</f>
        <v>2.8115999999999999</v>
      </c>
      <c r="G550" s="69">
        <f ca="1">IF(L549="","",G549+TabelaCalculo[[#This Row],[BACEN-SÉRIE 29543]])</f>
        <v>1.7365825499999987</v>
      </c>
      <c r="H550" s="46">
        <v>1.74</v>
      </c>
      <c r="I550" s="62">
        <v>41.046225</v>
      </c>
      <c r="J550" s="62">
        <v>3.3334600000000001</v>
      </c>
      <c r="K550" s="62">
        <v>41.046225</v>
      </c>
      <c r="L550" s="80">
        <v>6.8999999999999062E-3</v>
      </c>
      <c r="M550" s="91">
        <f ca="1">MAX(0,-1+ROUND((1+L549)/ROUND(OFFSET(A550,0,FORMULÁRIO!$E$10-1)/OFFSET(A549,0,FORMULÁRIO!$E$10-1),4),8))</f>
        <v>5.5871499999999852E-3</v>
      </c>
      <c r="N550" s="46"/>
    </row>
    <row r="551" spans="1:14" x14ac:dyDescent="0.25">
      <c r="A551" s="59">
        <v>40057</v>
      </c>
      <c r="B551" s="62"/>
      <c r="C551" s="45"/>
      <c r="D551" s="46">
        <v>15.85</v>
      </c>
      <c r="E551" s="78">
        <v>6.8999999999999062E-3</v>
      </c>
      <c r="F551" s="57">
        <f>TabelaCalculo[[#This Row],[SELIC]]+F550</f>
        <v>2.8184999999999998</v>
      </c>
      <c r="G551" s="69">
        <f ca="1">IF(L550="","",G550+TabelaCalculo[[#This Row],[BACEN-SÉRIE 29543]])</f>
        <v>1.7426776699999986</v>
      </c>
      <c r="H551" s="46">
        <v>1.75</v>
      </c>
      <c r="I551" s="62">
        <v>41.079061000000003</v>
      </c>
      <c r="J551" s="62">
        <v>3.341126</v>
      </c>
      <c r="K551" s="62">
        <v>41.079061000000003</v>
      </c>
      <c r="L551" s="80">
        <v>6.9000000000003503E-3</v>
      </c>
      <c r="M551" s="91">
        <f ca="1">MAX(0,-1+ROUND((1+L550)/ROUND(OFFSET(A551,0,FORMULÁRIO!$E$10-1)/OFFSET(A550,0,FORMULÁRIO!$E$10-1),4),8))</f>
        <v>6.0951199999998984E-3</v>
      </c>
      <c r="N551" s="46"/>
    </row>
    <row r="552" spans="1:14" x14ac:dyDescent="0.25">
      <c r="A552" s="59">
        <v>40087</v>
      </c>
      <c r="B552" s="62"/>
      <c r="C552" s="45"/>
      <c r="D552" s="46">
        <v>15.85</v>
      </c>
      <c r="E552" s="78">
        <v>6.9000000000003503E-3</v>
      </c>
      <c r="F552" s="57">
        <f>TabelaCalculo[[#This Row],[SELIC]]+F551</f>
        <v>2.8254000000000001</v>
      </c>
      <c r="G552" s="69">
        <f ca="1">IF(L551="","",G551+TabelaCalculo[[#This Row],[BACEN-SÉRIE 29543]])</f>
        <v>1.7479691999999987</v>
      </c>
      <c r="H552" s="46">
        <v>1.76</v>
      </c>
      <c r="I552" s="62">
        <v>41.144787000000001</v>
      </c>
      <c r="J552" s="62">
        <v>3.3474740000000001</v>
      </c>
      <c r="K552" s="62">
        <v>41.144787000000001</v>
      </c>
      <c r="L552" s="80">
        <v>6.8999999999999062E-3</v>
      </c>
      <c r="M552" s="91">
        <f ca="1">MAX(0,-1+ROUND((1+L551)/ROUND(OFFSET(A552,0,FORMULÁRIO!$E$10-1)/OFFSET(A551,0,FORMULÁRIO!$E$10-1),4),8))</f>
        <v>5.2915300000000443E-3</v>
      </c>
      <c r="N552" s="46"/>
    </row>
    <row r="553" spans="1:14" x14ac:dyDescent="0.25">
      <c r="A553" s="59">
        <v>40118</v>
      </c>
      <c r="B553" s="62"/>
      <c r="C553" s="45"/>
      <c r="D553" s="46">
        <v>15.85</v>
      </c>
      <c r="E553" s="78">
        <v>6.8999999999999062E-3</v>
      </c>
      <c r="F553" s="57">
        <f>TabelaCalculo[[#This Row],[SELIC]]+F552</f>
        <v>2.8323</v>
      </c>
      <c r="G553" s="69">
        <f ca="1">IF(L552="","",G552+TabelaCalculo[[#This Row],[BACEN-SÉRIE 29543]])</f>
        <v>1.7524584299999986</v>
      </c>
      <c r="H553" s="46">
        <v>1.77</v>
      </c>
      <c r="I553" s="62">
        <v>41.243533999999997</v>
      </c>
      <c r="J553" s="62">
        <v>3.3534989999999998</v>
      </c>
      <c r="K553" s="62">
        <v>41.243533999999997</v>
      </c>
      <c r="L553" s="80">
        <v>6.6000000000001613E-3</v>
      </c>
      <c r="M553" s="91">
        <f ca="1">MAX(0,-1+ROUND((1+L552)/ROUND(OFFSET(A553,0,FORMULÁRIO!$E$10-1)/OFFSET(A552,0,FORMULÁRIO!$E$10-1),4),8))</f>
        <v>4.4892299999998997E-3</v>
      </c>
      <c r="N553" s="46"/>
    </row>
    <row r="554" spans="1:14" x14ac:dyDescent="0.25">
      <c r="A554" s="59">
        <v>40148</v>
      </c>
      <c r="B554" s="62"/>
      <c r="C554" s="45"/>
      <c r="D554" s="46">
        <v>15.85</v>
      </c>
      <c r="E554" s="78">
        <v>6.6000000000001613E-3</v>
      </c>
      <c r="F554" s="57">
        <f>TabelaCalculo[[#This Row],[SELIC]]+F553</f>
        <v>2.8389000000000002</v>
      </c>
      <c r="G554" s="69">
        <f ca="1">IF(L553="","",G553+TabelaCalculo[[#This Row],[BACEN-SÉRIE 29543]])</f>
        <v>1.7553477399999986</v>
      </c>
      <c r="H554" s="46">
        <v>1.78</v>
      </c>
      <c r="I554" s="62">
        <v>41.396135000000001</v>
      </c>
      <c r="J554" s="62">
        <v>3.3682539999999999</v>
      </c>
      <c r="K554" s="62">
        <v>41.396135000000001</v>
      </c>
      <c r="L554" s="80">
        <v>7.2999999999998622E-3</v>
      </c>
      <c r="M554" s="91">
        <f ca="1">MAX(0,-1+ROUND((1+L553)/ROUND(OFFSET(A554,0,FORMULÁRIO!$E$10-1)/OFFSET(A553,0,FORMULÁRIO!$E$10-1),4),8))</f>
        <v>2.8893100000000338E-3</v>
      </c>
      <c r="N554" s="46"/>
    </row>
    <row r="555" spans="1:14" x14ac:dyDescent="0.25">
      <c r="A555" s="59">
        <v>40179</v>
      </c>
      <c r="B555" s="62"/>
      <c r="C555" s="45"/>
      <c r="D555" s="46">
        <v>16.420000000000002</v>
      </c>
      <c r="E555" s="78">
        <v>7.2999999999998622E-3</v>
      </c>
      <c r="F555" s="57">
        <f>TabelaCalculo[[#This Row],[SELIC]]+F554</f>
        <v>2.8462000000000001</v>
      </c>
      <c r="G555" s="69">
        <f ca="1">IF(L554="","",G554+TabelaCalculo[[#This Row],[BACEN-SÉRIE 29543]])</f>
        <v>1.7602360099999985</v>
      </c>
      <c r="H555" s="46">
        <v>1.79</v>
      </c>
      <c r="I555" s="62">
        <v>41.495485000000002</v>
      </c>
      <c r="J555" s="62">
        <v>3.3810530000000001</v>
      </c>
      <c r="K555" s="62">
        <v>41.495485000000002</v>
      </c>
      <c r="L555" s="80">
        <v>6.5999999999997172E-3</v>
      </c>
      <c r="M555" s="91">
        <f ca="1">MAX(0,-1+ROUND((1+L554)/ROUND(OFFSET(A555,0,FORMULÁRIO!$E$10-1)/OFFSET(A554,0,FORMULÁRIO!$E$10-1),4),8))</f>
        <v>4.8882699999999168E-3</v>
      </c>
      <c r="N555" s="46"/>
    </row>
    <row r="556" spans="1:14" x14ac:dyDescent="0.25">
      <c r="A556" s="59">
        <v>40210</v>
      </c>
      <c r="B556" s="62"/>
      <c r="C556" s="45"/>
      <c r="D556" s="46">
        <v>16.420000000000002</v>
      </c>
      <c r="E556" s="78">
        <v>6.5999999999997172E-3</v>
      </c>
      <c r="F556" s="57">
        <f>TabelaCalculo[[#This Row],[SELIC]]+F555</f>
        <v>2.8527999999999998</v>
      </c>
      <c r="G556" s="69">
        <f ca="1">IF(L555="","",G555+TabelaCalculo[[#This Row],[BACEN-SÉRIE 29543]])</f>
        <v>1.7602360099999985</v>
      </c>
      <c r="H556" s="46">
        <v>1.8</v>
      </c>
      <c r="I556" s="62">
        <v>41.860644999999998</v>
      </c>
      <c r="J556" s="62">
        <v>3.3986339999999999</v>
      </c>
      <c r="K556" s="62">
        <v>41.860644999999998</v>
      </c>
      <c r="L556" s="80">
        <v>5.9000000000000163E-3</v>
      </c>
      <c r="M556" s="91">
        <f ca="1">MAX(0,-1+ROUND((1+L555)/ROUND(OFFSET(A556,0,FORMULÁRIO!$E$10-1)/OFFSET(A555,0,FORMULÁRIO!$E$10-1),4),8))</f>
        <v>0</v>
      </c>
      <c r="N556" s="46"/>
    </row>
    <row r="557" spans="1:14" x14ac:dyDescent="0.25">
      <c r="A557" s="59">
        <v>40238</v>
      </c>
      <c r="B557" s="62"/>
      <c r="C557" s="45"/>
      <c r="D557" s="46">
        <v>16.420000000000002</v>
      </c>
      <c r="E557" s="78">
        <v>5.9000000000000163E-3</v>
      </c>
      <c r="F557" s="57">
        <f>TabelaCalculo[[#This Row],[SELIC]]+F556</f>
        <v>2.8586999999999998</v>
      </c>
      <c r="G557" s="69">
        <f ca="1">IF(L556="","",G556+TabelaCalculo[[#This Row],[BACEN-SÉRIE 29543]])</f>
        <v>1.7602360099999985</v>
      </c>
      <c r="H557" s="46">
        <v>1.81</v>
      </c>
      <c r="I557" s="62">
        <v>42.153669000000001</v>
      </c>
      <c r="J557" s="62">
        <v>3.4305810000000001</v>
      </c>
      <c r="K557" s="62">
        <v>42.153669000000001</v>
      </c>
      <c r="L557" s="80">
        <v>7.6000000000000512E-3</v>
      </c>
      <c r="M557" s="91">
        <f ca="1">MAX(0,-1+ROUND((1+L556)/ROUND(OFFSET(A557,0,FORMULÁRIO!$E$10-1)/OFFSET(A556,0,FORMULÁRIO!$E$10-1),4),8))</f>
        <v>0</v>
      </c>
      <c r="N557" s="46"/>
    </row>
    <row r="558" spans="1:14" x14ac:dyDescent="0.25">
      <c r="A558" s="59">
        <v>40269</v>
      </c>
      <c r="B558" s="62"/>
      <c r="C558" s="45"/>
      <c r="D558" s="46">
        <v>16.420000000000002</v>
      </c>
      <c r="E558" s="78">
        <v>7.6000000000000512E-3</v>
      </c>
      <c r="F558" s="57">
        <f>TabelaCalculo[[#This Row],[SELIC]]+F557</f>
        <v>2.8662999999999998</v>
      </c>
      <c r="G558" s="69">
        <f ca="1">IF(L557="","",G557+TabelaCalculo[[#This Row],[BACEN-SÉRIE 29543]])</f>
        <v>1.7607324899999985</v>
      </c>
      <c r="H558" s="46">
        <v>1.82</v>
      </c>
      <c r="I558" s="62">
        <v>42.452959999999997</v>
      </c>
      <c r="J558" s="62">
        <v>3.449449</v>
      </c>
      <c r="K558" s="62">
        <v>42.452959999999997</v>
      </c>
      <c r="L558" s="80">
        <v>6.7000000000003723E-3</v>
      </c>
      <c r="M558" s="91">
        <f ca="1">MAX(0,-1+ROUND((1+L557)/ROUND(OFFSET(A558,0,FORMULÁRIO!$E$10-1)/OFFSET(A557,0,FORMULÁRIO!$E$10-1),4),8))</f>
        <v>4.9648000000002135E-4</v>
      </c>
      <c r="N558" s="46"/>
    </row>
    <row r="559" spans="1:14" x14ac:dyDescent="0.25">
      <c r="A559" s="59">
        <v>40299</v>
      </c>
      <c r="B559" s="62"/>
      <c r="C559" s="45"/>
      <c r="D559" s="46">
        <v>16.420000000000002</v>
      </c>
      <c r="E559" s="78">
        <v>6.7000000000003723E-3</v>
      </c>
      <c r="F559" s="57">
        <f>TabelaCalculo[[#This Row],[SELIC]]+F558</f>
        <v>2.8730000000000002</v>
      </c>
      <c r="G559" s="69">
        <f ca="1">IF(L558="","",G558+TabelaCalculo[[#This Row],[BACEN-SÉRIE 29543]])</f>
        <v>1.7607324899999985</v>
      </c>
      <c r="H559" s="46">
        <v>1.83</v>
      </c>
      <c r="I559" s="62">
        <v>42.762866000000002</v>
      </c>
      <c r="J559" s="62">
        <v>3.4660060000000001</v>
      </c>
      <c r="K559" s="62">
        <v>42.762866000000002</v>
      </c>
      <c r="L559" s="80">
        <v>7.4999999999998401E-3</v>
      </c>
      <c r="M559" s="91">
        <f ca="1">MAX(0,-1+ROUND((1+L558)/ROUND(OFFSET(A559,0,FORMULÁRIO!$E$10-1)/OFFSET(A558,0,FORMULÁRIO!$E$10-1),4),8))</f>
        <v>0</v>
      </c>
      <c r="N559" s="46"/>
    </row>
    <row r="560" spans="1:14" x14ac:dyDescent="0.25">
      <c r="A560" s="59">
        <v>40330</v>
      </c>
      <c r="B560" s="62"/>
      <c r="C560" s="45"/>
      <c r="D560" s="46">
        <v>16.420000000000002</v>
      </c>
      <c r="E560" s="78">
        <v>7.4999999999998401E-3</v>
      </c>
      <c r="F560" s="57">
        <f>TabelaCalculo[[#This Row],[SELIC]]+F559</f>
        <v>2.8805000000000001</v>
      </c>
      <c r="G560" s="69">
        <f ca="1">IF(L559="","",G559+TabelaCalculo[[#This Row],[BACEN-SÉRIE 29543]])</f>
        <v>1.7639187899999986</v>
      </c>
      <c r="H560" s="46">
        <v>1.84</v>
      </c>
      <c r="I560" s="62">
        <v>42.946745999999997</v>
      </c>
      <c r="J560" s="62">
        <v>3.487841</v>
      </c>
      <c r="K560" s="62">
        <v>42.946745999999997</v>
      </c>
      <c r="L560" s="80">
        <v>7.8999999999997961E-3</v>
      </c>
      <c r="M560" s="91">
        <f ca="1">MAX(0,-1+ROUND((1+L559)/ROUND(OFFSET(A560,0,FORMULÁRIO!$E$10-1)/OFFSET(A559,0,FORMULÁRIO!$E$10-1),4),8))</f>
        <v>3.1863000000000863E-3</v>
      </c>
      <c r="N560" s="46"/>
    </row>
    <row r="561" spans="1:14" x14ac:dyDescent="0.25">
      <c r="A561" s="59">
        <v>40360</v>
      </c>
      <c r="B561" s="62"/>
      <c r="C561" s="45"/>
      <c r="D561" s="46">
        <v>16.420000000000002</v>
      </c>
      <c r="E561" s="78">
        <v>7.8999999999997961E-3</v>
      </c>
      <c r="F561" s="57">
        <f>TabelaCalculo[[#This Row],[SELIC]]+F560</f>
        <v>2.8883999999999999</v>
      </c>
      <c r="G561" s="69">
        <f ca="1">IF(L560="","",G560+TabelaCalculo[[#This Row],[BACEN-SÉRIE 29543]])</f>
        <v>1.7729286999999987</v>
      </c>
      <c r="H561" s="46">
        <v>1.85</v>
      </c>
      <c r="I561" s="62">
        <v>42.899504</v>
      </c>
      <c r="J561" s="62">
        <v>3.4944670000000002</v>
      </c>
      <c r="K561" s="62">
        <v>42.899504</v>
      </c>
      <c r="L561" s="80">
        <v>8.599999999999941E-3</v>
      </c>
      <c r="M561" s="91">
        <f ca="1">MAX(0,-1+ROUND((1+L560)/ROUND(OFFSET(A561,0,FORMULÁRIO!$E$10-1)/OFFSET(A560,0,FORMULÁRIO!$E$10-1),4),8))</f>
        <v>9.0099100000000654E-3</v>
      </c>
      <c r="N561" s="46"/>
    </row>
    <row r="562" spans="1:14" x14ac:dyDescent="0.25">
      <c r="A562" s="59">
        <v>40391</v>
      </c>
      <c r="B562" s="62"/>
      <c r="C562" s="45"/>
      <c r="D562" s="46">
        <v>16.420000000000002</v>
      </c>
      <c r="E562" s="78">
        <v>8.599999999999941E-3</v>
      </c>
      <c r="F562" s="57">
        <f>TabelaCalculo[[#This Row],[SELIC]]+F561</f>
        <v>2.8969999999999998</v>
      </c>
      <c r="G562" s="69">
        <f ca="1">IF(L561="","",G561+TabelaCalculo[[#This Row],[BACEN-SÉRIE 29543]])</f>
        <v>1.7822352099999987</v>
      </c>
      <c r="H562" s="46">
        <v>1.86</v>
      </c>
      <c r="I562" s="62">
        <v>42.869473999999997</v>
      </c>
      <c r="J562" s="62">
        <v>3.4913210000000001</v>
      </c>
      <c r="K562" s="62">
        <v>42.869473999999997</v>
      </c>
      <c r="L562" s="80">
        <v>8.90000000000013E-3</v>
      </c>
      <c r="M562" s="91">
        <f ca="1">MAX(0,-1+ROUND((1+L561)/ROUND(OFFSET(A562,0,FORMULÁRIO!$E$10-1)/OFFSET(A561,0,FORMULÁRIO!$E$10-1),4),8))</f>
        <v>9.3065100000000456E-3</v>
      </c>
      <c r="N562" s="46"/>
    </row>
    <row r="563" spans="1:14" x14ac:dyDescent="0.25">
      <c r="A563" s="59">
        <v>40422</v>
      </c>
      <c r="B563" s="62"/>
      <c r="C563" s="45"/>
      <c r="D563" s="46">
        <v>16.420000000000002</v>
      </c>
      <c r="E563" s="78">
        <v>8.90000000000013E-3</v>
      </c>
      <c r="F563" s="57">
        <f>TabelaCalculo[[#This Row],[SELIC]]+F562</f>
        <v>2.9058999999999999</v>
      </c>
      <c r="G563" s="69">
        <f ca="1">IF(L562="","",G562+TabelaCalculo[[#This Row],[BACEN-SÉRIE 29543]])</f>
        <v>1.7918419299999988</v>
      </c>
      <c r="H563" s="46">
        <v>1.87</v>
      </c>
      <c r="I563" s="62">
        <v>42.839464999999997</v>
      </c>
      <c r="J563" s="62">
        <v>3.4895749999999999</v>
      </c>
      <c r="K563" s="62">
        <v>42.839464999999997</v>
      </c>
      <c r="L563" s="80">
        <v>8.5000000000001741E-3</v>
      </c>
      <c r="M563" s="91">
        <f ca="1">MAX(0,-1+ROUND((1+L562)/ROUND(OFFSET(A563,0,FORMULÁRIO!$E$10-1)/OFFSET(A562,0,FORMULÁRIO!$E$10-1),4),8))</f>
        <v>9.6067200000000685E-3</v>
      </c>
      <c r="N563" s="46"/>
    </row>
    <row r="564" spans="1:14" x14ac:dyDescent="0.25">
      <c r="A564" s="59">
        <v>40452</v>
      </c>
      <c r="B564" s="62"/>
      <c r="C564" s="45"/>
      <c r="D564" s="46">
        <v>16.420000000000002</v>
      </c>
      <c r="E564" s="78">
        <v>8.5000000000001741E-3</v>
      </c>
      <c r="F564" s="57">
        <f>TabelaCalculo[[#This Row],[SELIC]]+F563</f>
        <v>2.9144000000000001</v>
      </c>
      <c r="G564" s="69">
        <f ca="1">IF(L563="","",G563+TabelaCalculo[[#This Row],[BACEN-SÉRIE 29543]])</f>
        <v>1.7949252799999988</v>
      </c>
      <c r="H564" s="46">
        <v>1.88</v>
      </c>
      <c r="I564" s="62">
        <v>43.070798000000003</v>
      </c>
      <c r="J564" s="62">
        <v>3.5003920000000002</v>
      </c>
      <c r="K564" s="62">
        <v>43.070798000000003</v>
      </c>
      <c r="L564" s="80">
        <v>8.099999999999774E-3</v>
      </c>
      <c r="M564" s="91">
        <f ca="1">MAX(0,-1+ROUND((1+L563)/ROUND(OFFSET(A564,0,FORMULÁRIO!$E$10-1)/OFFSET(A563,0,FORMULÁRIO!$E$10-1),4),8))</f>
        <v>3.0833500000000402E-3</v>
      </c>
      <c r="N564" s="46"/>
    </row>
    <row r="565" spans="1:14" x14ac:dyDescent="0.25">
      <c r="A565" s="59">
        <v>40483</v>
      </c>
      <c r="B565" s="62"/>
      <c r="C565" s="45"/>
      <c r="D565" s="46">
        <v>16.420000000000002</v>
      </c>
      <c r="E565" s="78">
        <v>8.099999999999774E-3</v>
      </c>
      <c r="F565" s="57">
        <f>TabelaCalculo[[#This Row],[SELIC]]+F564</f>
        <v>2.9224999999999999</v>
      </c>
      <c r="G565" s="69">
        <f ca="1">IF(L564="","",G564+TabelaCalculo[[#This Row],[BACEN-SÉRIE 29543]])</f>
        <v>1.7949252799999988</v>
      </c>
      <c r="H565" s="46">
        <v>1.89</v>
      </c>
      <c r="I565" s="62">
        <v>43.467049000000003</v>
      </c>
      <c r="J565" s="62">
        <v>3.5220940000000001</v>
      </c>
      <c r="K565" s="62">
        <v>43.467049000000003</v>
      </c>
      <c r="L565" s="80">
        <v>8.1000000000002181E-3</v>
      </c>
      <c r="M565" s="91">
        <f ca="1">MAX(0,-1+ROUND((1+L564)/ROUND(OFFSET(A565,0,FORMULÁRIO!$E$10-1)/OFFSET(A564,0,FORMULÁRIO!$E$10-1),4),8))</f>
        <v>0</v>
      </c>
      <c r="N565" s="46"/>
    </row>
    <row r="566" spans="1:14" x14ac:dyDescent="0.25">
      <c r="A566" s="59">
        <v>40513</v>
      </c>
      <c r="B566" s="62"/>
      <c r="C566" s="45"/>
      <c r="D566" s="46">
        <v>16.420000000000002</v>
      </c>
      <c r="E566" s="78">
        <v>8.1000000000002181E-3</v>
      </c>
      <c r="F566" s="57">
        <f>TabelaCalculo[[#This Row],[SELIC]]+F565</f>
        <v>2.9306000000000001</v>
      </c>
      <c r="G566" s="69">
        <f ca="1">IF(L565="","",G565+TabelaCalculo[[#This Row],[BACEN-SÉRIE 29543]])</f>
        <v>1.7949252799999988</v>
      </c>
      <c r="H566" s="46">
        <v>1.9</v>
      </c>
      <c r="I566" s="62">
        <v>43.914758999999997</v>
      </c>
      <c r="J566" s="62">
        <v>3.552384</v>
      </c>
      <c r="K566" s="62">
        <v>43.914758999999997</v>
      </c>
      <c r="L566" s="80">
        <v>9.300000000000086E-3</v>
      </c>
      <c r="M566" s="91">
        <f ca="1">MAX(0,-1+ROUND((1+L565)/ROUND(OFFSET(A566,0,FORMULÁRIO!$E$10-1)/OFFSET(A565,0,FORMULÁRIO!$E$10-1),4),8))</f>
        <v>0</v>
      </c>
      <c r="N566" s="46"/>
    </row>
    <row r="567" spans="1:14" x14ac:dyDescent="0.25">
      <c r="A567" s="59">
        <v>40544</v>
      </c>
      <c r="B567" s="62"/>
      <c r="C567" s="45"/>
      <c r="D567" s="46">
        <v>17.45</v>
      </c>
      <c r="E567" s="78">
        <v>9.300000000000086E-3</v>
      </c>
      <c r="F567" s="57">
        <f>TabelaCalculo[[#This Row],[SELIC]]+F566</f>
        <v>2.9399000000000002</v>
      </c>
      <c r="G567" s="69">
        <f ca="1">IF(L566="","",G566+TabelaCalculo[[#This Row],[BACEN-SÉRIE 29543]])</f>
        <v>1.7982055999999988</v>
      </c>
      <c r="H567" s="46">
        <v>1.91</v>
      </c>
      <c r="I567" s="62">
        <v>44.178246999999999</v>
      </c>
      <c r="J567" s="62">
        <v>3.5768949999999999</v>
      </c>
      <c r="K567" s="62">
        <v>44.178246999999999</v>
      </c>
      <c r="L567" s="80">
        <v>8.599999999999941E-3</v>
      </c>
      <c r="M567" s="91">
        <f ca="1">MAX(0,-1+ROUND((1+L566)/ROUND(OFFSET(A567,0,FORMULÁRIO!$E$10-1)/OFFSET(A566,0,FORMULÁRIO!$E$10-1),4),8))</f>
        <v>3.2803200000000032E-3</v>
      </c>
      <c r="N567" s="46"/>
    </row>
    <row r="568" spans="1:14" x14ac:dyDescent="0.25">
      <c r="A568" s="59">
        <v>40575</v>
      </c>
      <c r="B568" s="62"/>
      <c r="C568" s="45"/>
      <c r="D568" s="46">
        <v>17.45</v>
      </c>
      <c r="E568" s="78">
        <v>8.599999999999941E-3</v>
      </c>
      <c r="F568" s="57">
        <f>TabelaCalculo[[#This Row],[SELIC]]+F567</f>
        <v>2.9485000000000001</v>
      </c>
      <c r="G568" s="69">
        <f ca="1">IF(L567="","",G567+TabelaCalculo[[#This Row],[BACEN-SÉRIE 29543]])</f>
        <v>1.7982055999999988</v>
      </c>
      <c r="H568" s="46">
        <v>1.92</v>
      </c>
      <c r="I568" s="62">
        <v>44.593522</v>
      </c>
      <c r="J568" s="62">
        <v>3.604079</v>
      </c>
      <c r="K568" s="62">
        <v>44.593522</v>
      </c>
      <c r="L568" s="80">
        <v>8.3999999999999631E-3</v>
      </c>
      <c r="M568" s="91">
        <f ca="1">MAX(0,-1+ROUND((1+L567)/ROUND(OFFSET(A568,0,FORMULÁRIO!$E$10-1)/OFFSET(A567,0,FORMULÁRIO!$E$10-1),4),8))</f>
        <v>0</v>
      </c>
      <c r="N568" s="46"/>
    </row>
    <row r="569" spans="1:14" x14ac:dyDescent="0.25">
      <c r="A569" s="59">
        <v>40603</v>
      </c>
      <c r="B569" s="62"/>
      <c r="C569" s="45"/>
      <c r="D569" s="46">
        <v>17.45</v>
      </c>
      <c r="E569" s="78">
        <v>8.3999999999999631E-3</v>
      </c>
      <c r="F569" s="57">
        <f>TabelaCalculo[[#This Row],[SELIC]]+F568</f>
        <v>2.9569000000000001</v>
      </c>
      <c r="G569" s="69">
        <f ca="1">IF(L568="","",G568+TabelaCalculo[[#This Row],[BACEN-SÉRIE 29543]])</f>
        <v>1.8011894899999989</v>
      </c>
      <c r="H569" s="46">
        <v>1.93</v>
      </c>
      <c r="I569" s="62">
        <v>44.834327000000002</v>
      </c>
      <c r="J569" s="62">
        <v>3.6390380000000002</v>
      </c>
      <c r="K569" s="62">
        <v>44.834327000000002</v>
      </c>
      <c r="L569" s="80">
        <v>9.1999999999998749E-3</v>
      </c>
      <c r="M569" s="91">
        <f ca="1">MAX(0,-1+ROUND((1+L568)/ROUND(OFFSET(A569,0,FORMULÁRIO!$E$10-1)/OFFSET(A568,0,FORMULÁRIO!$E$10-1),4),8))</f>
        <v>2.9838900000001001E-3</v>
      </c>
      <c r="N569" s="46"/>
    </row>
    <row r="570" spans="1:14" x14ac:dyDescent="0.25">
      <c r="A570" s="59">
        <v>40634</v>
      </c>
      <c r="B570" s="62"/>
      <c r="C570" s="45"/>
      <c r="D570" s="46">
        <v>17.45</v>
      </c>
      <c r="E570" s="78">
        <v>9.1999999999998749E-3</v>
      </c>
      <c r="F570" s="57">
        <f>TabelaCalculo[[#This Row],[SELIC]]+F569</f>
        <v>2.9661</v>
      </c>
      <c r="G570" s="69">
        <f ca="1">IF(L569="","",G569+TabelaCalculo[[#This Row],[BACEN-SÉRIE 29543]])</f>
        <v>1.803772439999999</v>
      </c>
      <c r="H570" s="46">
        <v>1.94</v>
      </c>
      <c r="I570" s="62">
        <v>45.130232999999997</v>
      </c>
      <c r="J570" s="62">
        <v>3.6608719999999999</v>
      </c>
      <c r="K570" s="62">
        <v>45.130232999999997</v>
      </c>
      <c r="L570" s="80">
        <v>8.3999999999999631E-3</v>
      </c>
      <c r="M570" s="91">
        <f ca="1">MAX(0,-1+ROUND((1+L569)/ROUND(OFFSET(A570,0,FORMULÁRIO!$E$10-1)/OFFSET(A569,0,FORMULÁRIO!$E$10-1),4),8))</f>
        <v>2.5829500000000838E-3</v>
      </c>
      <c r="N570" s="46"/>
    </row>
    <row r="571" spans="1:14" x14ac:dyDescent="0.25">
      <c r="A571" s="59">
        <v>40664</v>
      </c>
      <c r="B571" s="62"/>
      <c r="C571" s="45"/>
      <c r="D571" s="46">
        <v>17.45</v>
      </c>
      <c r="E571" s="78">
        <v>8.3999999999999631E-3</v>
      </c>
      <c r="F571" s="57">
        <f>TabelaCalculo[[#This Row],[SELIC]]+F570</f>
        <v>2.9744999999999999</v>
      </c>
      <c r="G571" s="69">
        <f ca="1">IF(L570="","",G570+TabelaCalculo[[#This Row],[BACEN-SÉRIE 29543]])</f>
        <v>1.8049638599999991</v>
      </c>
      <c r="H571" s="46">
        <v>1.95</v>
      </c>
      <c r="I571" s="62">
        <v>45.455170000000003</v>
      </c>
      <c r="J571" s="62">
        <v>3.68906</v>
      </c>
      <c r="K571" s="62">
        <v>45.455170000000003</v>
      </c>
      <c r="L571" s="80">
        <v>9.9000000000000199E-3</v>
      </c>
      <c r="M571" s="91">
        <f ca="1">MAX(0,-1+ROUND((1+L570)/ROUND(OFFSET(A571,0,FORMULÁRIO!$E$10-1)/OFFSET(A570,0,FORMULÁRIO!$E$10-1),4),8))</f>
        <v>1.1914200000000541E-3</v>
      </c>
      <c r="N571" s="46"/>
    </row>
    <row r="572" spans="1:14" x14ac:dyDescent="0.25">
      <c r="A572" s="59">
        <v>40695</v>
      </c>
      <c r="B572" s="62"/>
      <c r="C572" s="45"/>
      <c r="D572" s="46">
        <v>17.45</v>
      </c>
      <c r="E572" s="78">
        <v>9.9000000000000199E-3</v>
      </c>
      <c r="F572" s="57">
        <f>TabelaCalculo[[#This Row],[SELIC]]+F571</f>
        <v>2.9843999999999999</v>
      </c>
      <c r="G572" s="69">
        <f ca="1">IF(L571="","",G571+TabelaCalculo[[#This Row],[BACEN-SÉRIE 29543]])</f>
        <v>1.8091400599999992</v>
      </c>
      <c r="H572" s="46">
        <v>1.96</v>
      </c>
      <c r="I572" s="62">
        <v>45.714264</v>
      </c>
      <c r="J572" s="62">
        <v>3.7148829999999999</v>
      </c>
      <c r="K572" s="62">
        <v>45.714264</v>
      </c>
      <c r="L572" s="80">
        <v>9.600000000000275E-3</v>
      </c>
      <c r="M572" s="91">
        <f ca="1">MAX(0,-1+ROUND((1+L571)/ROUND(OFFSET(A572,0,FORMULÁRIO!$E$10-1)/OFFSET(A571,0,FORMULÁRIO!$E$10-1),4),8))</f>
        <v>4.1762000000000743E-3</v>
      </c>
      <c r="N572" s="46"/>
    </row>
    <row r="573" spans="1:14" x14ac:dyDescent="0.25">
      <c r="A573" s="59">
        <v>40725</v>
      </c>
      <c r="B573" s="62"/>
      <c r="C573" s="45"/>
      <c r="D573" s="46">
        <v>17.45</v>
      </c>
      <c r="E573" s="78">
        <v>9.600000000000275E-3</v>
      </c>
      <c r="F573" s="57">
        <f>TabelaCalculo[[#This Row],[SELIC]]+F572</f>
        <v>2.9940000000000002</v>
      </c>
      <c r="G573" s="69">
        <f ca="1">IF(L572="","",G572+TabelaCalculo[[#This Row],[BACEN-SÉRIE 29543]])</f>
        <v>1.8165238199999991</v>
      </c>
      <c r="H573" s="46">
        <v>1.97</v>
      </c>
      <c r="I573" s="62">
        <v>45.814835000000002</v>
      </c>
      <c r="J573" s="62">
        <v>3.723427</v>
      </c>
      <c r="K573" s="62">
        <v>45.814835000000002</v>
      </c>
      <c r="L573" s="80">
        <v>9.6999999999995978E-3</v>
      </c>
      <c r="M573" s="91">
        <f ca="1">MAX(0,-1+ROUND((1+L572)/ROUND(OFFSET(A573,0,FORMULÁRIO!$E$10-1)/OFFSET(A572,0,FORMULÁRIO!$E$10-1),4),8))</f>
        <v>7.3837599999999615E-3</v>
      </c>
      <c r="N573" s="46"/>
    </row>
    <row r="574" spans="1:14" x14ac:dyDescent="0.25">
      <c r="A574" s="59">
        <v>40756</v>
      </c>
      <c r="B574" s="62"/>
      <c r="C574" s="45"/>
      <c r="D574" s="46">
        <v>17.45</v>
      </c>
      <c r="E574" s="78">
        <v>9.6999999999995978E-3</v>
      </c>
      <c r="F574" s="57">
        <f>TabelaCalculo[[#This Row],[SELIC]]+F573</f>
        <v>3.0036999999999998</v>
      </c>
      <c r="G574" s="69">
        <f ca="1">IF(L573="","",G573+TabelaCalculo[[#This Row],[BACEN-SÉRIE 29543]])</f>
        <v>1.8262238199999992</v>
      </c>
      <c r="H574" s="46">
        <v>1.98</v>
      </c>
      <c r="I574" s="62">
        <v>45.814835000000002</v>
      </c>
      <c r="J574" s="62">
        <v>3.72715</v>
      </c>
      <c r="K574" s="62">
        <v>45.814835000000002</v>
      </c>
      <c r="L574" s="80">
        <v>1.0700000000000376E-2</v>
      </c>
      <c r="M574" s="91">
        <f ca="1">MAX(0,-1+ROUND((1+L573)/ROUND(OFFSET(A574,0,FORMULÁRIO!$E$10-1)/OFFSET(A573,0,FORMULÁRIO!$E$10-1),4),8))</f>
        <v>9.7000000000000419E-3</v>
      </c>
      <c r="N574" s="46"/>
    </row>
    <row r="575" spans="1:14" x14ac:dyDescent="0.25">
      <c r="A575" s="59">
        <v>40787</v>
      </c>
      <c r="B575" s="62"/>
      <c r="C575" s="45"/>
      <c r="D575" s="46">
        <v>17.45</v>
      </c>
      <c r="E575" s="78">
        <v>1.0700000000000376E-2</v>
      </c>
      <c r="F575" s="57">
        <f>TabelaCalculo[[#This Row],[SELIC]]+F574</f>
        <v>3.0144000000000002</v>
      </c>
      <c r="G575" s="69">
        <f ca="1">IF(L574="","",G574+TabelaCalculo[[#This Row],[BACEN-SÉRIE 29543]])</f>
        <v>1.8326966299999992</v>
      </c>
      <c r="H575" s="46">
        <v>1.99</v>
      </c>
      <c r="I575" s="62">
        <v>46.007257000000003</v>
      </c>
      <c r="J575" s="62">
        <v>3.7372130000000001</v>
      </c>
      <c r="K575" s="62">
        <v>46.007257000000003</v>
      </c>
      <c r="L575" s="80">
        <v>9.3999999999998529E-3</v>
      </c>
      <c r="M575" s="91">
        <f ca="1">MAX(0,-1+ROUND((1+L574)/ROUND(OFFSET(A575,0,FORMULÁRIO!$E$10-1)/OFFSET(A574,0,FORMULÁRIO!$E$10-1),4),8))</f>
        <v>6.4728099999999955E-3</v>
      </c>
      <c r="N575" s="46"/>
    </row>
    <row r="576" spans="1:14" x14ac:dyDescent="0.25">
      <c r="A576" s="59">
        <v>40817</v>
      </c>
      <c r="B576" s="62"/>
      <c r="C576" s="45"/>
      <c r="D576" s="46">
        <v>17.45</v>
      </c>
      <c r="E576" s="78">
        <v>9.3999999999998529E-3</v>
      </c>
      <c r="F576" s="57">
        <f>TabelaCalculo[[#This Row],[SELIC]]+F575</f>
        <v>3.0238</v>
      </c>
      <c r="G576" s="69">
        <f ca="1">IF(L575="","",G575+TabelaCalculo[[#This Row],[BACEN-SÉRIE 29543]])</f>
        <v>1.8375746799999992</v>
      </c>
      <c r="H576" s="46">
        <v>2</v>
      </c>
      <c r="I576" s="62">
        <v>46.214289000000001</v>
      </c>
      <c r="J576" s="62">
        <v>3.7570199999999998</v>
      </c>
      <c r="K576" s="62">
        <v>46.214289000000001</v>
      </c>
      <c r="L576" s="80">
        <v>8.799999999999919E-3</v>
      </c>
      <c r="M576" s="91">
        <f ca="1">MAX(0,-1+ROUND((1+L575)/ROUND(OFFSET(A576,0,FORMULÁRIO!$E$10-1)/OFFSET(A575,0,FORMULÁRIO!$E$10-1),4),8))</f>
        <v>4.8780500000000782E-3</v>
      </c>
      <c r="N576" s="46"/>
    </row>
    <row r="577" spans="1:14" x14ac:dyDescent="0.25">
      <c r="A577" s="59">
        <v>40848</v>
      </c>
      <c r="B577" s="62"/>
      <c r="C577" s="45"/>
      <c r="D577" s="46">
        <v>17.45</v>
      </c>
      <c r="E577" s="78">
        <v>8.799999999999919E-3</v>
      </c>
      <c r="F577" s="57">
        <f>TabelaCalculo[[#This Row],[SELIC]]+F576</f>
        <v>3.0326</v>
      </c>
      <c r="G577" s="69">
        <f ca="1">IF(L576="","",G576+TabelaCalculo[[#This Row],[BACEN-SÉRIE 29543]])</f>
        <v>1.8431568199999993</v>
      </c>
      <c r="H577" s="46">
        <v>2.0099999999999998</v>
      </c>
      <c r="I577" s="62">
        <v>46.362174000000003</v>
      </c>
      <c r="J577" s="62">
        <v>3.772799</v>
      </c>
      <c r="K577" s="62">
        <v>46.362174000000003</v>
      </c>
      <c r="L577" s="80">
        <v>8.599999999999941E-3</v>
      </c>
      <c r="M577" s="91">
        <f ca="1">MAX(0,-1+ROUND((1+L576)/ROUND(OFFSET(A577,0,FORMULÁRIO!$E$10-1)/OFFSET(A576,0,FORMULÁRIO!$E$10-1),4),8))</f>
        <v>5.5821400000000132E-3</v>
      </c>
      <c r="N577" s="46"/>
    </row>
    <row r="578" spans="1:14" x14ac:dyDescent="0.25">
      <c r="A578" s="59">
        <v>40878</v>
      </c>
      <c r="B578" s="62"/>
      <c r="C578" s="45"/>
      <c r="D578" s="46">
        <v>17.45</v>
      </c>
      <c r="E578" s="78">
        <v>8.599999999999941E-3</v>
      </c>
      <c r="F578" s="57">
        <f>TabelaCalculo[[#This Row],[SELIC]]+F577</f>
        <v>3.0411999999999999</v>
      </c>
      <c r="G578" s="69">
        <f ca="1">IF(L577="","",G577+TabelaCalculo[[#This Row],[BACEN-SÉRIE 29543]])</f>
        <v>1.8460403799999991</v>
      </c>
      <c r="H578" s="46">
        <v>2.02</v>
      </c>
      <c r="I578" s="62">
        <v>46.626438</v>
      </c>
      <c r="J578" s="62">
        <v>3.7901530000000001</v>
      </c>
      <c r="K578" s="62">
        <v>46.626438</v>
      </c>
      <c r="L578" s="80">
        <v>9.100000000000108E-3</v>
      </c>
      <c r="M578" s="91">
        <f ca="1">MAX(0,-1+ROUND((1+L577)/ROUND(OFFSET(A578,0,FORMULÁRIO!$E$10-1)/OFFSET(A577,0,FORMULÁRIO!$E$10-1),4),8))</f>
        <v>2.8835599999998962E-3</v>
      </c>
      <c r="N578" s="46"/>
    </row>
    <row r="579" spans="1:14" x14ac:dyDescent="0.25">
      <c r="A579" s="59">
        <v>40909</v>
      </c>
      <c r="B579" s="62"/>
      <c r="C579" s="45"/>
      <c r="D579" s="46">
        <v>18.440000000000001</v>
      </c>
      <c r="E579" s="78">
        <v>9.100000000000108E-3</v>
      </c>
      <c r="F579" s="57">
        <f>TabelaCalculo[[#This Row],[SELIC]]+F578</f>
        <v>3.0503</v>
      </c>
      <c r="G579" s="69">
        <f ca="1">IF(L578="","",G578+TabelaCalculo[[#This Row],[BACEN-SÉRIE 29543]])</f>
        <v>1.8500200799999991</v>
      </c>
      <c r="H579" s="46">
        <v>2.0299999999999998</v>
      </c>
      <c r="I579" s="62">
        <v>46.864232000000001</v>
      </c>
      <c r="J579" s="62">
        <v>3.8113769999999998</v>
      </c>
      <c r="K579" s="62">
        <v>46.864232000000001</v>
      </c>
      <c r="L579" s="80">
        <v>8.90000000000013E-3</v>
      </c>
      <c r="M579" s="91">
        <f ca="1">MAX(0,-1+ROUND((1+L578)/ROUND(OFFSET(A579,0,FORMULÁRIO!$E$10-1)/OFFSET(A578,0,FORMULÁRIO!$E$10-1),4),8))</f>
        <v>3.9796999999999194E-3</v>
      </c>
      <c r="N579" s="46"/>
    </row>
    <row r="580" spans="1:14" x14ac:dyDescent="0.25">
      <c r="A580" s="59">
        <v>40940</v>
      </c>
      <c r="B580" s="62"/>
      <c r="C580" s="45"/>
      <c r="D580" s="46">
        <v>18.440000000000001</v>
      </c>
      <c r="E580" s="78">
        <v>8.90000000000013E-3</v>
      </c>
      <c r="F580" s="57">
        <f>TabelaCalculo[[#This Row],[SELIC]]+F579</f>
        <v>3.0592000000000001</v>
      </c>
      <c r="G580" s="69">
        <f ca="1">IF(L579="","",G579+TabelaCalculo[[#This Row],[BACEN-SÉRIE 29543]])</f>
        <v>1.853800799999999</v>
      </c>
      <c r="H580" s="46">
        <v>2.04</v>
      </c>
      <c r="I580" s="62">
        <v>47.103239000000002</v>
      </c>
      <c r="J580" s="62">
        <v>3.8361499999999999</v>
      </c>
      <c r="K580" s="62">
        <v>47.103239000000002</v>
      </c>
      <c r="L580" s="80">
        <v>7.4999999999998401E-3</v>
      </c>
      <c r="M580" s="91">
        <f ca="1">MAX(0,-1+ROUND((1+L579)/ROUND(OFFSET(A580,0,FORMULÁRIO!$E$10-1)/OFFSET(A579,0,FORMULÁRIO!$E$10-1),4),8))</f>
        <v>3.7807199999999597E-3</v>
      </c>
      <c r="N580" s="46"/>
    </row>
    <row r="581" spans="1:14" x14ac:dyDescent="0.25">
      <c r="A581" s="59">
        <v>40969</v>
      </c>
      <c r="B581" s="62"/>
      <c r="C581" s="45"/>
      <c r="D581" s="46">
        <v>18.440000000000001</v>
      </c>
      <c r="E581" s="78">
        <v>7.4999999999998401E-3</v>
      </c>
      <c r="F581" s="57">
        <f>TabelaCalculo[[#This Row],[SELIC]]+F580</f>
        <v>3.0667</v>
      </c>
      <c r="G581" s="69">
        <f ca="1">IF(L580="","",G580+TabelaCalculo[[#This Row],[BACEN-SÉRIE 29543]])</f>
        <v>1.8573868099999991</v>
      </c>
      <c r="H581" s="46">
        <v>2.0499999999999998</v>
      </c>
      <c r="I581" s="62">
        <v>47.286940999999999</v>
      </c>
      <c r="J581" s="62">
        <v>3.856481</v>
      </c>
      <c r="K581" s="62">
        <v>47.286940999999999</v>
      </c>
      <c r="L581" s="80">
        <v>8.1999999999999851E-3</v>
      </c>
      <c r="M581" s="91">
        <f ca="1">MAX(0,-1+ROUND((1+L580)/ROUND(OFFSET(A581,0,FORMULÁRIO!$E$10-1)/OFFSET(A580,0,FORMULÁRIO!$E$10-1),4),8))</f>
        <v>3.5860100000000283E-3</v>
      </c>
      <c r="N581" s="46"/>
    </row>
    <row r="582" spans="1:14" x14ac:dyDescent="0.25">
      <c r="A582" s="59">
        <v>41000</v>
      </c>
      <c r="B582" s="62"/>
      <c r="C582" s="45"/>
      <c r="D582" s="46">
        <v>18.440000000000001</v>
      </c>
      <c r="E582" s="78">
        <v>8.1999999999999851E-3</v>
      </c>
      <c r="F582" s="57">
        <f>TabelaCalculo[[#This Row],[SELIC]]+F581</f>
        <v>3.0749</v>
      </c>
      <c r="G582" s="69">
        <f ca="1">IF(L581="","",G581+TabelaCalculo[[#This Row],[BACEN-SÉRIE 29543]])</f>
        <v>1.863775309999999</v>
      </c>
      <c r="H582" s="46">
        <v>2.06</v>
      </c>
      <c r="I582" s="62">
        <v>47.372056999999998</v>
      </c>
      <c r="J582" s="62">
        <v>3.8661219999999998</v>
      </c>
      <c r="K582" s="62">
        <v>47.372056999999998</v>
      </c>
      <c r="L582" s="80">
        <v>7.0999999999998842E-3</v>
      </c>
      <c r="M582" s="91">
        <f ca="1">MAX(0,-1+ROUND((1+L581)/ROUND(OFFSET(A582,0,FORMULÁRIO!$E$10-1)/OFFSET(A581,0,FORMULÁRIO!$E$10-1),4),8))</f>
        <v>6.3884999999999081E-3</v>
      </c>
      <c r="N582" s="46"/>
    </row>
    <row r="583" spans="1:14" x14ac:dyDescent="0.25">
      <c r="A583" s="59">
        <v>41030</v>
      </c>
      <c r="B583" s="62"/>
      <c r="C583" s="45"/>
      <c r="D583" s="46">
        <v>18.440000000000001</v>
      </c>
      <c r="E583" s="78">
        <v>7.0999999999998842E-3</v>
      </c>
      <c r="F583" s="57">
        <f>TabelaCalculo[[#This Row],[SELIC]]+F582</f>
        <v>3.0819999999999999</v>
      </c>
      <c r="G583" s="69">
        <f ca="1">IF(L582="","",G582+TabelaCalculo[[#This Row],[BACEN-SÉRIE 29543]])</f>
        <v>1.8644708599999991</v>
      </c>
      <c r="H583" s="46">
        <v>2.0699999999999998</v>
      </c>
      <c r="I583" s="62">
        <v>47.675238</v>
      </c>
      <c r="J583" s="62">
        <v>3.882746</v>
      </c>
      <c r="K583" s="62">
        <v>47.675238</v>
      </c>
      <c r="L583" s="80">
        <v>7.4000000000000732E-3</v>
      </c>
      <c r="M583" s="91">
        <f ca="1">MAX(0,-1+ROUND((1+L582)/ROUND(OFFSET(A583,0,FORMULÁRIO!$E$10-1)/OFFSET(A582,0,FORMULÁRIO!$E$10-1),4),8))</f>
        <v>6.9555000000010025E-4</v>
      </c>
      <c r="N583" s="46"/>
    </row>
    <row r="584" spans="1:14" x14ac:dyDescent="0.25">
      <c r="A584" s="59">
        <v>41061</v>
      </c>
      <c r="B584" s="62"/>
      <c r="C584" s="45"/>
      <c r="D584" s="46">
        <v>18.440000000000001</v>
      </c>
      <c r="E584" s="78">
        <v>7.4000000000000732E-3</v>
      </c>
      <c r="F584" s="57">
        <f>TabelaCalculo[[#This Row],[SELIC]]+F583</f>
        <v>3.0893999999999999</v>
      </c>
      <c r="G584" s="69">
        <f ca="1">IF(L583="","",G583+TabelaCalculo[[#This Row],[BACEN-SÉRIE 29543]])</f>
        <v>1.8663604699999992</v>
      </c>
      <c r="H584" s="46">
        <v>2.08</v>
      </c>
      <c r="I584" s="62">
        <v>47.937451000000003</v>
      </c>
      <c r="J584" s="62">
        <v>3.9025479999999999</v>
      </c>
      <c r="K584" s="62">
        <v>47.937451000000003</v>
      </c>
      <c r="L584" s="80">
        <v>6.4000000000001833E-3</v>
      </c>
      <c r="M584" s="91">
        <f ca="1">MAX(0,-1+ROUND((1+L583)/ROUND(OFFSET(A584,0,FORMULÁRIO!$E$10-1)/OFFSET(A583,0,FORMULÁRIO!$E$10-1),4),8))</f>
        <v>1.889610000000097E-3</v>
      </c>
      <c r="N584" s="46"/>
    </row>
    <row r="585" spans="1:14" x14ac:dyDescent="0.25">
      <c r="A585" s="59">
        <v>41091</v>
      </c>
      <c r="B585" s="62"/>
      <c r="C585" s="45"/>
      <c r="D585" s="46">
        <v>18.440000000000001</v>
      </c>
      <c r="E585" s="78">
        <v>6.4000000000001833E-3</v>
      </c>
      <c r="F585" s="57">
        <f>TabelaCalculo[[#This Row],[SELIC]]+F584</f>
        <v>3.0958000000000001</v>
      </c>
      <c r="G585" s="69">
        <f ca="1">IF(L584="","",G584+TabelaCalculo[[#This Row],[BACEN-SÉRIE 29543]])</f>
        <v>1.8701506199999991</v>
      </c>
      <c r="H585" s="46">
        <v>2.09</v>
      </c>
      <c r="I585" s="62">
        <v>48.062088000000003</v>
      </c>
      <c r="J585" s="62">
        <v>3.9095719999999998</v>
      </c>
      <c r="K585" s="62">
        <v>48.062088000000003</v>
      </c>
      <c r="L585" s="80">
        <v>6.7999999999996952E-3</v>
      </c>
      <c r="M585" s="91">
        <f ca="1">MAX(0,-1+ROUND((1+L584)/ROUND(OFFSET(A585,0,FORMULÁRIO!$E$10-1)/OFFSET(A584,0,FORMULÁRIO!$E$10-1),4),8))</f>
        <v>3.7901499999999366E-3</v>
      </c>
      <c r="N585" s="46"/>
    </row>
    <row r="586" spans="1:14" x14ac:dyDescent="0.25">
      <c r="A586" s="59">
        <v>41122</v>
      </c>
      <c r="B586" s="62"/>
      <c r="C586" s="45"/>
      <c r="D586" s="46">
        <v>18.440000000000001</v>
      </c>
      <c r="E586" s="78">
        <v>6.7999999999996952E-3</v>
      </c>
      <c r="F586" s="57">
        <f>TabelaCalculo[[#This Row],[SELIC]]+F585</f>
        <v>3.1025999999999998</v>
      </c>
      <c r="G586" s="69">
        <f ca="1">IF(L585="","",G585+TabelaCalculo[[#This Row],[BACEN-SÉRIE 29543]])</f>
        <v>1.872639919999999</v>
      </c>
      <c r="H586" s="46">
        <v>2.1</v>
      </c>
      <c r="I586" s="62">
        <v>48.268754000000001</v>
      </c>
      <c r="J586" s="62">
        <v>3.9224730000000001</v>
      </c>
      <c r="K586" s="62">
        <v>48.268754000000001</v>
      </c>
      <c r="L586" s="80">
        <v>6.9000000000003503E-3</v>
      </c>
      <c r="M586" s="91">
        <f ca="1">MAX(0,-1+ROUND((1+L585)/ROUND(OFFSET(A586,0,FORMULÁRIO!$E$10-1)/OFFSET(A585,0,FORMULÁRIO!$E$10-1),4),8))</f>
        <v>2.4892999999999166E-3</v>
      </c>
      <c r="N586" s="46"/>
    </row>
    <row r="587" spans="1:14" x14ac:dyDescent="0.25">
      <c r="A587" s="59">
        <v>41153</v>
      </c>
      <c r="B587" s="62"/>
      <c r="C587" s="45"/>
      <c r="D587" s="46">
        <v>18.440000000000001</v>
      </c>
      <c r="E587" s="78">
        <v>6.9000000000003503E-3</v>
      </c>
      <c r="F587" s="57">
        <f>TabelaCalculo[[#This Row],[SELIC]]+F586</f>
        <v>3.1095000000000002</v>
      </c>
      <c r="G587" s="69">
        <f ca="1">IF(L586="","",G586+TabelaCalculo[[#This Row],[BACEN-SÉRIE 29543]])</f>
        <v>1.875029169999999</v>
      </c>
      <c r="H587" s="46">
        <v>2.11</v>
      </c>
      <c r="I587" s="62">
        <v>48.485962999999998</v>
      </c>
      <c r="J587" s="62">
        <v>3.93777</v>
      </c>
      <c r="K587" s="62">
        <v>48.485962999999998</v>
      </c>
      <c r="L587" s="80">
        <v>5.3999999999998494E-3</v>
      </c>
      <c r="M587" s="91">
        <f ca="1">MAX(0,-1+ROUND((1+L586)/ROUND(OFFSET(A587,0,FORMULÁRIO!$E$10-1)/OFFSET(A586,0,FORMULÁRIO!$E$10-1),4),8))</f>
        <v>2.3892500000000094E-3</v>
      </c>
      <c r="N587" s="46"/>
    </row>
    <row r="588" spans="1:14" x14ac:dyDescent="0.25">
      <c r="A588" s="59">
        <v>41183</v>
      </c>
      <c r="B588" s="62"/>
      <c r="C588" s="45"/>
      <c r="D588" s="46">
        <v>18.440000000000001</v>
      </c>
      <c r="E588" s="78">
        <v>5.3999999999998494E-3</v>
      </c>
      <c r="F588" s="57">
        <f>TabelaCalculo[[#This Row],[SELIC]]+F587</f>
        <v>3.1149</v>
      </c>
      <c r="G588" s="69">
        <f ca="1">IF(L587="","",G587+TabelaCalculo[[#This Row],[BACEN-SÉRIE 29543]])</f>
        <v>1.875029169999999</v>
      </c>
      <c r="H588" s="46">
        <v>2.12</v>
      </c>
      <c r="I588" s="62">
        <v>48.791423999999999</v>
      </c>
      <c r="J588" s="62">
        <v>3.956671</v>
      </c>
      <c r="K588" s="62">
        <v>48.791423999999999</v>
      </c>
      <c r="L588" s="80">
        <v>6.0999999999999943E-3</v>
      </c>
      <c r="M588" s="91">
        <f ca="1">MAX(0,-1+ROUND((1+L587)/ROUND(OFFSET(A588,0,FORMULÁRIO!$E$10-1)/OFFSET(A587,0,FORMULÁRIO!$E$10-1),4),8))</f>
        <v>0</v>
      </c>
      <c r="N588" s="46"/>
    </row>
    <row r="589" spans="1:14" x14ac:dyDescent="0.25">
      <c r="A589" s="59">
        <v>41214</v>
      </c>
      <c r="B589" s="62"/>
      <c r="C589" s="45"/>
      <c r="D589" s="46">
        <v>18.440000000000001</v>
      </c>
      <c r="E589" s="78">
        <v>6.0999999999999943E-3</v>
      </c>
      <c r="F589" s="57">
        <f>TabelaCalculo[[#This Row],[SELIC]]+F588</f>
        <v>3.121</v>
      </c>
      <c r="G589" s="69">
        <f ca="1">IF(L588="","",G588+TabelaCalculo[[#This Row],[BACEN-SÉRIE 29543]])</f>
        <v>1.875029169999999</v>
      </c>
      <c r="H589" s="46">
        <v>2.13</v>
      </c>
      <c r="I589" s="62">
        <v>49.137842999999997</v>
      </c>
      <c r="J589" s="62">
        <v>3.982389</v>
      </c>
      <c r="K589" s="62">
        <v>49.137842999999997</v>
      </c>
      <c r="L589" s="80">
        <v>5.5000000000000604E-3</v>
      </c>
      <c r="M589" s="91">
        <f ca="1">MAX(0,-1+ROUND((1+L588)/ROUND(OFFSET(A589,0,FORMULÁRIO!$E$10-1)/OFFSET(A588,0,FORMULÁRIO!$E$10-1),4),8))</f>
        <v>0</v>
      </c>
      <c r="N589" s="46"/>
    </row>
    <row r="590" spans="1:14" x14ac:dyDescent="0.25">
      <c r="A590" s="59">
        <v>41244</v>
      </c>
      <c r="B590" s="62"/>
      <c r="C590" s="45"/>
      <c r="D590" s="46">
        <v>18.440000000000001</v>
      </c>
      <c r="E590" s="78">
        <v>5.5000000000000604E-3</v>
      </c>
      <c r="F590" s="57">
        <f>TabelaCalculo[[#This Row],[SELIC]]+F589</f>
        <v>3.1265000000000001</v>
      </c>
      <c r="G590" s="69">
        <f ca="1">IF(L589="","",G589+TabelaCalculo[[#This Row],[BACEN-SÉRIE 29543]])</f>
        <v>1.875128629999999</v>
      </c>
      <c r="H590" s="46">
        <v>2.14</v>
      </c>
      <c r="I590" s="62">
        <v>49.403187000000003</v>
      </c>
      <c r="J590" s="62">
        <v>4.0038929999999997</v>
      </c>
      <c r="K590" s="62">
        <v>49.403187000000003</v>
      </c>
      <c r="L590" s="80">
        <v>5.5000000000000604E-3</v>
      </c>
      <c r="M590" s="91">
        <f ca="1">MAX(0,-1+ROUND((1+L589)/ROUND(OFFSET(A590,0,FORMULÁRIO!$E$10-1)/OFFSET(A589,0,FORMULÁRIO!$E$10-1),4),8))</f>
        <v>9.9459999999940152E-5</v>
      </c>
      <c r="N590" s="46"/>
    </row>
    <row r="591" spans="1:14" x14ac:dyDescent="0.25">
      <c r="A591" s="59">
        <v>41275</v>
      </c>
      <c r="B591" s="62"/>
      <c r="C591" s="45"/>
      <c r="D591" s="46">
        <v>19.37</v>
      </c>
      <c r="E591" s="78">
        <v>5.5000000000000604E-3</v>
      </c>
      <c r="F591" s="57">
        <f>TabelaCalculo[[#This Row],[SELIC]]+F590</f>
        <v>3.1320000000000001</v>
      </c>
      <c r="G591" s="69">
        <f ca="1">IF(L590="","",G590+TabelaCalculo[[#This Row],[BACEN-SÉRIE 29543]])</f>
        <v>1.875128629999999</v>
      </c>
      <c r="H591" s="46">
        <v>2.15</v>
      </c>
      <c r="I591" s="62">
        <v>49.768770000000004</v>
      </c>
      <c r="J591" s="62">
        <v>4.0315190000000003</v>
      </c>
      <c r="K591" s="62">
        <v>49.768770000000004</v>
      </c>
      <c r="L591" s="80">
        <v>5.9999999999997833E-3</v>
      </c>
      <c r="M591" s="91">
        <f ca="1">MAX(0,-1+ROUND((1+L590)/ROUND(OFFSET(A591,0,FORMULÁRIO!$E$10-1)/OFFSET(A590,0,FORMULÁRIO!$E$10-1),4),8))</f>
        <v>0</v>
      </c>
      <c r="N591" s="46"/>
    </row>
    <row r="592" spans="1:14" x14ac:dyDescent="0.25">
      <c r="A592" s="59">
        <v>41306</v>
      </c>
      <c r="B592" s="62"/>
      <c r="C592" s="45"/>
      <c r="D592" s="46">
        <v>19.37</v>
      </c>
      <c r="E592" s="78">
        <v>5.9999999999997833E-3</v>
      </c>
      <c r="F592" s="57">
        <f>TabelaCalculo[[#This Row],[SELIC]]+F591</f>
        <v>3.1379999999999999</v>
      </c>
      <c r="G592" s="69">
        <f ca="1">IF(L591="","",G591+TabelaCalculo[[#This Row],[BACEN-SÉRIE 29543]])</f>
        <v>1.875128629999999</v>
      </c>
      <c r="H592" s="46">
        <v>2.16</v>
      </c>
      <c r="I592" s="62">
        <v>50.226641999999998</v>
      </c>
      <c r="J592" s="62">
        <v>4.0669959999999996</v>
      </c>
      <c r="K592" s="62">
        <v>50.226641999999998</v>
      </c>
      <c r="L592" s="80">
        <v>4.9000000000001265E-3</v>
      </c>
      <c r="M592" s="91">
        <f ca="1">MAX(0,-1+ROUND((1+L591)/ROUND(OFFSET(A592,0,FORMULÁRIO!$E$10-1)/OFFSET(A591,0,FORMULÁRIO!$E$10-1),4),8))</f>
        <v>0</v>
      </c>
      <c r="N592" s="46"/>
    </row>
    <row r="593" spans="1:14" x14ac:dyDescent="0.25">
      <c r="A593" s="59">
        <v>41334</v>
      </c>
      <c r="B593" s="62"/>
      <c r="C593" s="45"/>
      <c r="D593" s="46">
        <v>19.37</v>
      </c>
      <c r="E593" s="78">
        <v>4.9000000000001265E-3</v>
      </c>
      <c r="F593" s="57">
        <f>TabelaCalculo[[#This Row],[SELIC]]+F592</f>
        <v>3.1429</v>
      </c>
      <c r="G593" s="69">
        <f ca="1">IF(L592="","",G592+TabelaCalculo[[#This Row],[BACEN-SÉRIE 29543]])</f>
        <v>1.875128629999999</v>
      </c>
      <c r="H593" s="46">
        <v>2.17</v>
      </c>
      <c r="I593" s="62">
        <v>50.487819999999999</v>
      </c>
      <c r="J593" s="62">
        <v>4.0946509999999998</v>
      </c>
      <c r="K593" s="62">
        <v>50.487819999999999</v>
      </c>
      <c r="L593" s="80">
        <v>5.5000000000000604E-3</v>
      </c>
      <c r="M593" s="91">
        <f ca="1">MAX(0,-1+ROUND((1+L592)/ROUND(OFFSET(A593,0,FORMULÁRIO!$E$10-1)/OFFSET(A592,0,FORMULÁRIO!$E$10-1),4),8))</f>
        <v>0</v>
      </c>
      <c r="N593" s="46"/>
    </row>
    <row r="594" spans="1:14" x14ac:dyDescent="0.25">
      <c r="A594" s="59">
        <v>41365</v>
      </c>
      <c r="B594" s="62"/>
      <c r="C594" s="45"/>
      <c r="D594" s="46">
        <v>19.37</v>
      </c>
      <c r="E594" s="78">
        <v>5.5000000000000604E-3</v>
      </c>
      <c r="F594" s="57">
        <f>TabelaCalculo[[#This Row],[SELIC]]+F593</f>
        <v>3.1484000000000001</v>
      </c>
      <c r="G594" s="69">
        <f ca="1">IF(L593="","",G593+TabelaCalculo[[#This Row],[BACEN-SÉRIE 29543]])</f>
        <v>1.875128629999999</v>
      </c>
      <c r="H594" s="46">
        <v>2.1800000000000002</v>
      </c>
      <c r="I594" s="62">
        <v>50.790745999999999</v>
      </c>
      <c r="J594" s="62">
        <v>4.1147140000000002</v>
      </c>
      <c r="K594" s="62">
        <v>50.790745999999999</v>
      </c>
      <c r="L594" s="80">
        <v>6.0999999999999943E-3</v>
      </c>
      <c r="M594" s="91">
        <f ca="1">MAX(0,-1+ROUND((1+L593)/ROUND(OFFSET(A594,0,FORMULÁRIO!$E$10-1)/OFFSET(A593,0,FORMULÁRIO!$E$10-1),4),8))</f>
        <v>0</v>
      </c>
      <c r="N594" s="46"/>
    </row>
    <row r="595" spans="1:14" x14ac:dyDescent="0.25">
      <c r="A595" s="59">
        <v>41395</v>
      </c>
      <c r="B595" s="62"/>
      <c r="C595" s="45"/>
      <c r="D595" s="46">
        <v>19.37</v>
      </c>
      <c r="E595" s="78">
        <v>6.0999999999999943E-3</v>
      </c>
      <c r="F595" s="57">
        <f>TabelaCalculo[[#This Row],[SELIC]]+F594</f>
        <v>3.1545000000000001</v>
      </c>
      <c r="G595" s="69">
        <f ca="1">IF(L594="","",G594+TabelaCalculo[[#This Row],[BACEN-SÉRIE 29543]])</f>
        <v>1.8753274599999989</v>
      </c>
      <c r="H595" s="46">
        <v>2.19</v>
      </c>
      <c r="I595" s="62">
        <v>51.090411000000003</v>
      </c>
      <c r="J595" s="62">
        <v>4.1356989999999998</v>
      </c>
      <c r="K595" s="62">
        <v>51.090411000000003</v>
      </c>
      <c r="L595" s="80">
        <v>5.9999999999997833E-3</v>
      </c>
      <c r="M595" s="91">
        <f ca="1">MAX(0,-1+ROUND((1+L594)/ROUND(OFFSET(A595,0,FORMULÁRIO!$E$10-1)/OFFSET(A594,0,FORMULÁRIO!$E$10-1),4),8))</f>
        <v>1.9882999999998319E-4</v>
      </c>
      <c r="N595" s="46"/>
    </row>
    <row r="596" spans="1:14" x14ac:dyDescent="0.25">
      <c r="A596" s="59">
        <v>41426</v>
      </c>
      <c r="B596" s="62"/>
      <c r="C596" s="45"/>
      <c r="D596" s="46">
        <v>19.37</v>
      </c>
      <c r="E596" s="78">
        <v>5.9999999999997833E-3</v>
      </c>
      <c r="F596" s="57">
        <f>TabelaCalculo[[#This Row],[SELIC]]+F595</f>
        <v>3.1604999999999999</v>
      </c>
      <c r="G596" s="69">
        <f ca="1">IF(L595="","",G595+TabelaCalculo[[#This Row],[BACEN-SÉRIE 29543]])</f>
        <v>1.877818739999999</v>
      </c>
      <c r="H596" s="46">
        <v>2.2000000000000002</v>
      </c>
      <c r="I596" s="62">
        <v>51.269227000000001</v>
      </c>
      <c r="J596" s="62">
        <v>4.1547229999999997</v>
      </c>
      <c r="K596" s="62">
        <v>51.269227000000001</v>
      </c>
      <c r="L596" s="80">
        <v>6.0999999999999943E-3</v>
      </c>
      <c r="M596" s="91">
        <f ca="1">MAX(0,-1+ROUND((1+L595)/ROUND(OFFSET(A596,0,FORMULÁRIO!$E$10-1)/OFFSET(A595,0,FORMULÁRIO!$E$10-1),4),8))</f>
        <v>2.4912800000000956E-3</v>
      </c>
      <c r="N596" s="46"/>
    </row>
    <row r="597" spans="1:14" x14ac:dyDescent="0.25">
      <c r="A597" s="59">
        <v>41456</v>
      </c>
      <c r="B597" s="62"/>
      <c r="C597" s="45"/>
      <c r="D597" s="46">
        <v>19.37</v>
      </c>
      <c r="E597" s="78">
        <v>6.0999999999999943E-3</v>
      </c>
      <c r="F597" s="57">
        <f>TabelaCalculo[[#This Row],[SELIC]]+F596</f>
        <v>3.1665999999999999</v>
      </c>
      <c r="G597" s="69">
        <f ca="1">IF(L596="","",G596+TabelaCalculo[[#This Row],[BACEN-SÉRIE 29543]])</f>
        <v>1.8811095299999991</v>
      </c>
      <c r="H597" s="46">
        <v>2.21</v>
      </c>
      <c r="I597" s="62">
        <v>51.412779999999998</v>
      </c>
      <c r="J597" s="62">
        <v>4.1705100000000002</v>
      </c>
      <c r="K597" s="62">
        <v>51.412779999999998</v>
      </c>
      <c r="L597" s="80">
        <v>7.2000000000000952E-3</v>
      </c>
      <c r="M597" s="91">
        <f ca="1">MAX(0,-1+ROUND((1+L596)/ROUND(OFFSET(A597,0,FORMULÁRIO!$E$10-1)/OFFSET(A596,0,FORMULÁRIO!$E$10-1),4),8))</f>
        <v>3.2907900000000989E-3</v>
      </c>
      <c r="N597" s="46"/>
    </row>
    <row r="598" spans="1:14" x14ac:dyDescent="0.25">
      <c r="A598" s="59">
        <v>41487</v>
      </c>
      <c r="B598" s="62"/>
      <c r="C598" s="45"/>
      <c r="D598" s="46">
        <v>19.37</v>
      </c>
      <c r="E598" s="78">
        <v>7.2000000000000952E-3</v>
      </c>
      <c r="F598" s="57">
        <f>TabelaCalculo[[#This Row],[SELIC]]+F597</f>
        <v>3.1738</v>
      </c>
      <c r="G598" s="69">
        <f ca="1">IF(L597="","",G597+TabelaCalculo[[#This Row],[BACEN-SÉRIE 29543]])</f>
        <v>1.8896205899999992</v>
      </c>
      <c r="H598" s="46">
        <v>2.2200000000000002</v>
      </c>
      <c r="I598" s="62">
        <v>51.345942999999998</v>
      </c>
      <c r="J598" s="62">
        <v>4.1734289999999996</v>
      </c>
      <c r="K598" s="62">
        <v>51.345942999999998</v>
      </c>
      <c r="L598" s="80">
        <v>7.0999999999998842E-3</v>
      </c>
      <c r="M598" s="91">
        <f ca="1">MAX(0,-1+ROUND((1+L597)/ROUND(OFFSET(A598,0,FORMULÁRIO!$E$10-1)/OFFSET(A597,0,FORMULÁRIO!$E$10-1),4),8))</f>
        <v>8.5110600000000147E-3</v>
      </c>
      <c r="N598" s="46"/>
    </row>
    <row r="599" spans="1:14" x14ac:dyDescent="0.25">
      <c r="A599" s="59">
        <v>41518</v>
      </c>
      <c r="B599" s="62"/>
      <c r="C599" s="45"/>
      <c r="D599" s="46">
        <v>19.37</v>
      </c>
      <c r="E599" s="78">
        <v>7.0999999999998842E-3</v>
      </c>
      <c r="F599" s="57">
        <f>TabelaCalculo[[#This Row],[SELIC]]+F598</f>
        <v>3.1808999999999998</v>
      </c>
      <c r="G599" s="69">
        <f ca="1">IF(L598="","",G598+TabelaCalculo[[#This Row],[BACEN-SÉRIE 29543]])</f>
        <v>1.8951117999999991</v>
      </c>
      <c r="H599" s="46">
        <v>2.23</v>
      </c>
      <c r="I599" s="62">
        <v>51.428095999999996</v>
      </c>
      <c r="J599" s="62">
        <v>4.1801060000000003</v>
      </c>
      <c r="K599" s="62">
        <v>51.428095999999996</v>
      </c>
      <c r="L599" s="80">
        <v>7.1000000000003283E-3</v>
      </c>
      <c r="M599" s="91">
        <f ca="1">MAX(0,-1+ROUND((1+L598)/ROUND(OFFSET(A599,0,FORMULÁRIO!$E$10-1)/OFFSET(A598,0,FORMULÁRIO!$E$10-1),4),8))</f>
        <v>5.4912099999999686E-3</v>
      </c>
      <c r="N599" s="46"/>
    </row>
    <row r="600" spans="1:14" x14ac:dyDescent="0.25">
      <c r="A600" s="59">
        <v>41548</v>
      </c>
      <c r="B600" s="62"/>
      <c r="C600" s="45"/>
      <c r="D600" s="46">
        <v>19.37</v>
      </c>
      <c r="E600" s="78">
        <v>7.1000000000003283E-3</v>
      </c>
      <c r="F600" s="57">
        <f>TabelaCalculo[[#This Row],[SELIC]]+F599</f>
        <v>3.1880000000000002</v>
      </c>
      <c r="G600" s="69">
        <f ca="1">IF(L599="","",G599+TabelaCalculo[[#This Row],[BACEN-SÉRIE 29543]])</f>
        <v>1.8994999499999992</v>
      </c>
      <c r="H600" s="46">
        <v>2.2400000000000002</v>
      </c>
      <c r="I600" s="62">
        <v>51.566951000000003</v>
      </c>
      <c r="J600" s="62">
        <v>4.1913919999999996</v>
      </c>
      <c r="K600" s="62">
        <v>51.566951000000003</v>
      </c>
      <c r="L600" s="80">
        <v>8.099999999999774E-3</v>
      </c>
      <c r="M600" s="91">
        <f ca="1">MAX(0,-1+ROUND((1+L599)/ROUND(OFFSET(A600,0,FORMULÁRIO!$E$10-1)/OFFSET(A599,0,FORMULÁRIO!$E$10-1),4),8))</f>
        <v>4.3881500000000351E-3</v>
      </c>
      <c r="N600" s="46"/>
    </row>
    <row r="601" spans="1:14" x14ac:dyDescent="0.25">
      <c r="A601" s="59">
        <v>41579</v>
      </c>
      <c r="B601" s="62"/>
      <c r="C601" s="45"/>
      <c r="D601" s="46">
        <v>19.37</v>
      </c>
      <c r="E601" s="78">
        <v>8.099999999999774E-3</v>
      </c>
      <c r="F601" s="57">
        <f>TabelaCalculo[[#This Row],[SELIC]]+F600</f>
        <v>3.1960999999999999</v>
      </c>
      <c r="G601" s="69">
        <f ca="1">IF(L600="","",G600+TabelaCalculo[[#This Row],[BACEN-SÉRIE 29543]])</f>
        <v>1.9014878199999992</v>
      </c>
      <c r="H601" s="46">
        <v>2.25</v>
      </c>
      <c r="I601" s="62">
        <v>51.881509000000001</v>
      </c>
      <c r="J601" s="62">
        <v>4.2115099999999996</v>
      </c>
      <c r="K601" s="62">
        <v>51.881509000000001</v>
      </c>
      <c r="L601" s="80">
        <v>7.2000000000000952E-3</v>
      </c>
      <c r="M601" s="91">
        <f ca="1">MAX(0,-1+ROUND((1+L600)/ROUND(OFFSET(A601,0,FORMULÁRIO!$E$10-1)/OFFSET(A600,0,FORMULÁRIO!$E$10-1),4),8))</f>
        <v>1.9878700000000027E-3</v>
      </c>
      <c r="N601" s="46"/>
    </row>
    <row r="602" spans="1:14" x14ac:dyDescent="0.25">
      <c r="A602" s="59">
        <v>41609</v>
      </c>
      <c r="B602" s="62"/>
      <c r="C602" s="45"/>
      <c r="D602" s="46">
        <v>19.37</v>
      </c>
      <c r="E602" s="78">
        <v>7.2000000000000952E-3</v>
      </c>
      <c r="F602" s="57">
        <f>TabelaCalculo[[#This Row],[SELIC]]+F601</f>
        <v>3.2033</v>
      </c>
      <c r="G602" s="69">
        <f ca="1">IF(L601="","",G601+TabelaCalculo[[#This Row],[BACEN-SÉRIE 29543]])</f>
        <v>1.9032781499999991</v>
      </c>
      <c r="H602" s="46">
        <v>2.2599999999999998</v>
      </c>
      <c r="I602" s="62">
        <v>52.161669000000003</v>
      </c>
      <c r="J602" s="62">
        <v>4.2355150000000004</v>
      </c>
      <c r="K602" s="62">
        <v>52.161669000000003</v>
      </c>
      <c r="L602" s="80">
        <v>7.8999999999997961E-3</v>
      </c>
      <c r="M602" s="91">
        <f ca="1">MAX(0,-1+ROUND((1+L601)/ROUND(OFFSET(A602,0,FORMULÁRIO!$E$10-1)/OFFSET(A601,0,FORMULÁRIO!$E$10-1),4),8))</f>
        <v>1.7903299999999511E-3</v>
      </c>
      <c r="N602" s="46"/>
    </row>
    <row r="603" spans="1:14" x14ac:dyDescent="0.25">
      <c r="A603" s="59">
        <v>41640</v>
      </c>
      <c r="B603" s="62"/>
      <c r="C603" s="45"/>
      <c r="D603" s="46">
        <v>20.14</v>
      </c>
      <c r="E603" s="78">
        <v>7.8999999999997961E-3</v>
      </c>
      <c r="F603" s="57">
        <f>TabelaCalculo[[#This Row],[SELIC]]+F602</f>
        <v>3.2111999999999998</v>
      </c>
      <c r="G603" s="69">
        <f ca="1">IF(L602="","",G602+TabelaCalculo[[#This Row],[BACEN-SÉRIE 29543]])</f>
        <v>1.903973149999999</v>
      </c>
      <c r="H603" s="46">
        <v>2.27</v>
      </c>
      <c r="I603" s="62">
        <v>52.537233000000001</v>
      </c>
      <c r="J603" s="62">
        <v>4.2672809999999997</v>
      </c>
      <c r="K603" s="62">
        <v>52.537233000000001</v>
      </c>
      <c r="L603" s="80">
        <v>8.5000000000001741E-3</v>
      </c>
      <c r="M603" s="91">
        <f ca="1">MAX(0,-1+ROUND((1+L602)/ROUND(OFFSET(A603,0,FORMULÁRIO!$E$10-1)/OFFSET(A602,0,FORMULÁRIO!$E$10-1),4),8))</f>
        <v>6.9499999999989015E-4</v>
      </c>
      <c r="N603" s="46"/>
    </row>
    <row r="604" spans="1:14" x14ac:dyDescent="0.25">
      <c r="A604" s="59">
        <v>41671</v>
      </c>
      <c r="B604" s="62"/>
      <c r="C604" s="45"/>
      <c r="D604" s="46">
        <v>20.14</v>
      </c>
      <c r="E604" s="78">
        <v>8.5000000000001741E-3</v>
      </c>
      <c r="F604" s="57">
        <f>TabelaCalculo[[#This Row],[SELIC]]+F603</f>
        <v>3.2197</v>
      </c>
      <c r="G604" s="69">
        <f ca="1">IF(L603="","",G603+TabelaCalculo[[#This Row],[BACEN-SÉRIE 29543]])</f>
        <v>1.906159379999999</v>
      </c>
      <c r="H604" s="46">
        <v>2.2799999999999998</v>
      </c>
      <c r="I604" s="62">
        <v>52.868217000000001</v>
      </c>
      <c r="J604" s="62">
        <v>4.295871</v>
      </c>
      <c r="K604" s="62">
        <v>52.868217000000001</v>
      </c>
      <c r="L604" s="80">
        <v>7.8999999999997961E-3</v>
      </c>
      <c r="M604" s="91">
        <f ca="1">MAX(0,-1+ROUND((1+L603)/ROUND(OFFSET(A604,0,FORMULÁRIO!$E$10-1)/OFFSET(A603,0,FORMULÁRIO!$E$10-1),4),8))</f>
        <v>2.1862299999999557E-3</v>
      </c>
      <c r="N604" s="46"/>
    </row>
    <row r="605" spans="1:14" x14ac:dyDescent="0.25">
      <c r="A605" s="59">
        <v>41699</v>
      </c>
      <c r="B605" s="62"/>
      <c r="C605" s="45"/>
      <c r="D605" s="46">
        <v>20.14</v>
      </c>
      <c r="E605" s="78">
        <v>7.8999999999997961E-3</v>
      </c>
      <c r="F605" s="57">
        <f>TabelaCalculo[[#This Row],[SELIC]]+F604</f>
        <v>3.2275999999999998</v>
      </c>
      <c r="G605" s="69">
        <f ca="1">IF(L604="","",G604+TabelaCalculo[[#This Row],[BACEN-SÉRIE 29543]])</f>
        <v>1.907649839999999</v>
      </c>
      <c r="H605" s="46">
        <v>2.29</v>
      </c>
      <c r="I605" s="62">
        <v>53.206572999999999</v>
      </c>
      <c r="J605" s="62">
        <v>4.3259420000000004</v>
      </c>
      <c r="K605" s="62">
        <v>53.206572999999999</v>
      </c>
      <c r="L605" s="80">
        <v>7.7000000000002622E-3</v>
      </c>
      <c r="M605" s="91">
        <f ca="1">MAX(0,-1+ROUND((1+L604)/ROUND(OFFSET(A605,0,FORMULÁRIO!$E$10-1)/OFFSET(A604,0,FORMULÁRIO!$E$10-1),4),8))</f>
        <v>1.4904600000000823E-3</v>
      </c>
      <c r="N605" s="46"/>
    </row>
    <row r="606" spans="1:14" x14ac:dyDescent="0.25">
      <c r="A606" s="59">
        <v>41730</v>
      </c>
      <c r="B606" s="62"/>
      <c r="C606" s="45"/>
      <c r="D606" s="46">
        <v>20.14</v>
      </c>
      <c r="E606" s="78">
        <v>7.7000000000002622E-3</v>
      </c>
      <c r="F606" s="57">
        <f>TabelaCalculo[[#This Row],[SELIC]]+F605</f>
        <v>3.2353000000000001</v>
      </c>
      <c r="G606" s="69">
        <f ca="1">IF(L605="","",G605+TabelaCalculo[[#This Row],[BACEN-SÉRIE 29543]])</f>
        <v>1.907649839999999</v>
      </c>
      <c r="H606" s="46">
        <v>2.2999999999999998</v>
      </c>
      <c r="I606" s="62">
        <v>53.642865999999998</v>
      </c>
      <c r="J606" s="62">
        <v>4.3575210000000002</v>
      </c>
      <c r="K606" s="62">
        <v>53.642865999999998</v>
      </c>
      <c r="L606" s="80">
        <v>8.1999999999999851E-3</v>
      </c>
      <c r="M606" s="91">
        <f ca="1">MAX(0,-1+ROUND((1+L605)/ROUND(OFFSET(A606,0,FORMULÁRIO!$E$10-1)/OFFSET(A605,0,FORMULÁRIO!$E$10-1),4),8))</f>
        <v>0</v>
      </c>
      <c r="N606" s="46"/>
    </row>
    <row r="607" spans="1:14" x14ac:dyDescent="0.25">
      <c r="A607" s="59">
        <v>41760</v>
      </c>
      <c r="B607" s="62"/>
      <c r="C607" s="45"/>
      <c r="D607" s="46">
        <v>20.14</v>
      </c>
      <c r="E607" s="78">
        <v>8.1999999999999851E-3</v>
      </c>
      <c r="F607" s="57">
        <f>TabelaCalculo[[#This Row],[SELIC]]+F606</f>
        <v>3.2435</v>
      </c>
      <c r="G607" s="69">
        <f ca="1">IF(L606="","",G606+TabelaCalculo[[#This Row],[BACEN-SÉRIE 29543]])</f>
        <v>1.908046739999999</v>
      </c>
      <c r="H607" s="46">
        <v>2.31</v>
      </c>
      <c r="I607" s="62">
        <v>54.061279999999996</v>
      </c>
      <c r="J607" s="62">
        <v>4.3915090000000001</v>
      </c>
      <c r="K607" s="62">
        <v>54.061279999999996</v>
      </c>
      <c r="L607" s="80">
        <v>8.7000000000001521E-3</v>
      </c>
      <c r="M607" s="91">
        <f ca="1">MAX(0,-1+ROUND((1+L606)/ROUND(OFFSET(A607,0,FORMULÁRIO!$E$10-1)/OFFSET(A606,0,FORMULÁRIO!$E$10-1),4),8))</f>
        <v>3.9689999999992231E-4</v>
      </c>
      <c r="N607" s="46"/>
    </row>
    <row r="608" spans="1:14" x14ac:dyDescent="0.25">
      <c r="A608" s="59">
        <v>41791</v>
      </c>
      <c r="B608" s="62"/>
      <c r="C608" s="45"/>
      <c r="D608" s="46">
        <v>20.14</v>
      </c>
      <c r="E608" s="78">
        <v>8.7000000000001521E-3</v>
      </c>
      <c r="F608" s="57">
        <f>TabelaCalculo[[#This Row],[SELIC]]+F607</f>
        <v>3.2522000000000002</v>
      </c>
      <c r="G608" s="69">
        <f ca="1">IF(L607="","",G607+TabelaCalculo[[#This Row],[BACEN-SÉRIE 29543]])</f>
        <v>1.910730639999999</v>
      </c>
      <c r="H608" s="46">
        <v>2.3199999999999998</v>
      </c>
      <c r="I608" s="62">
        <v>54.385646999999999</v>
      </c>
      <c r="J608" s="62">
        <v>4.4169790000000004</v>
      </c>
      <c r="K608" s="62">
        <v>54.385646999999999</v>
      </c>
      <c r="L608" s="80">
        <v>8.1999999999999851E-3</v>
      </c>
      <c r="M608" s="91">
        <f ca="1">MAX(0,-1+ROUND((1+L607)/ROUND(OFFSET(A608,0,FORMULÁRIO!$E$10-1)/OFFSET(A607,0,FORMULÁRIO!$E$10-1),4),8))</f>
        <v>2.6839000000000723E-3</v>
      </c>
      <c r="N608" s="46"/>
    </row>
    <row r="609" spans="1:14" x14ac:dyDescent="0.25">
      <c r="A609" s="59">
        <v>41821</v>
      </c>
      <c r="B609" s="62"/>
      <c r="C609" s="45"/>
      <c r="D609" s="46">
        <v>20.14</v>
      </c>
      <c r="E609" s="78">
        <v>8.1999999999999851E-3</v>
      </c>
      <c r="F609" s="57">
        <f>TabelaCalculo[[#This Row],[SELIC]]+F608</f>
        <v>3.2604000000000002</v>
      </c>
      <c r="G609" s="69">
        <f ca="1">IF(L608="","",G608+TabelaCalculo[[#This Row],[BACEN-SÉRIE 29543]])</f>
        <v>1.916316119999999</v>
      </c>
      <c r="H609" s="46">
        <v>2.33</v>
      </c>
      <c r="I609" s="62">
        <v>54.527048999999998</v>
      </c>
      <c r="J609" s="62">
        <v>4.4377380000000004</v>
      </c>
      <c r="K609" s="62">
        <v>54.527048999999998</v>
      </c>
      <c r="L609" s="80">
        <v>9.4999999999996199E-3</v>
      </c>
      <c r="M609" s="91">
        <f ca="1">MAX(0,-1+ROUND((1+L608)/ROUND(OFFSET(A609,0,FORMULÁRIO!$E$10-1)/OFFSET(A608,0,FORMULÁRIO!$E$10-1),4),8))</f>
        <v>5.5854799999999205E-3</v>
      </c>
      <c r="N609" s="46"/>
    </row>
    <row r="610" spans="1:14" x14ac:dyDescent="0.25">
      <c r="A610" s="59">
        <v>41852</v>
      </c>
      <c r="B610" s="62"/>
      <c r="C610" s="45"/>
      <c r="D610" s="46">
        <v>20.14</v>
      </c>
      <c r="E610" s="78">
        <v>9.4999999999996199E-3</v>
      </c>
      <c r="F610" s="57">
        <f>TabelaCalculo[[#This Row],[SELIC]]+F609</f>
        <v>3.2698999999999998</v>
      </c>
      <c r="G610" s="69">
        <f ca="1">IF(L609="","",G609+TabelaCalculo[[#This Row],[BACEN-SÉRIE 29543]])</f>
        <v>1.9245054699999991</v>
      </c>
      <c r="H610" s="46">
        <v>2.34</v>
      </c>
      <c r="I610" s="62">
        <v>54.597934000000002</v>
      </c>
      <c r="J610" s="62">
        <v>4.4452819999999997</v>
      </c>
      <c r="K610" s="62">
        <v>54.597934000000002</v>
      </c>
      <c r="L610" s="80">
        <v>8.7000000000001521E-3</v>
      </c>
      <c r="M610" s="91">
        <f ca="1">MAX(0,-1+ROUND((1+L609)/ROUND(OFFSET(A610,0,FORMULÁRIO!$E$10-1)/OFFSET(A609,0,FORMULÁRIO!$E$10-1),4),8))</f>
        <v>8.1893500000000952E-3</v>
      </c>
      <c r="N610" s="46"/>
    </row>
    <row r="611" spans="1:14" x14ac:dyDescent="0.25">
      <c r="A611" s="59">
        <v>41883</v>
      </c>
      <c r="B611" s="62"/>
      <c r="C611" s="45"/>
      <c r="D611" s="46">
        <v>20.14</v>
      </c>
      <c r="E611" s="78">
        <v>8.7000000000001521E-3</v>
      </c>
      <c r="F611" s="57">
        <f>TabelaCalculo[[#This Row],[SELIC]]+F610</f>
        <v>3.2786</v>
      </c>
      <c r="G611" s="69">
        <f ca="1">IF(L610="","",G610+TabelaCalculo[[#This Row],[BACEN-SÉRIE 29543]])</f>
        <v>1.931393069999999</v>
      </c>
      <c r="H611" s="46">
        <v>2.35</v>
      </c>
      <c r="I611" s="62">
        <v>54.696210000000001</v>
      </c>
      <c r="J611" s="62">
        <v>4.451505</v>
      </c>
      <c r="K611" s="62">
        <v>54.696210000000001</v>
      </c>
      <c r="L611" s="80">
        <v>9.100000000000108E-3</v>
      </c>
      <c r="M611" s="91">
        <f ca="1">MAX(0,-1+ROUND((1+L610)/ROUND(OFFSET(A611,0,FORMULÁRIO!$E$10-1)/OFFSET(A610,0,FORMULÁRIO!$E$10-1),4),8))</f>
        <v>6.8875999999999937E-3</v>
      </c>
      <c r="N611" s="46"/>
    </row>
    <row r="612" spans="1:14" x14ac:dyDescent="0.25">
      <c r="A612" s="59">
        <v>41913</v>
      </c>
      <c r="B612" s="62"/>
      <c r="C612" s="45"/>
      <c r="D612" s="46">
        <v>20.14</v>
      </c>
      <c r="E612" s="78">
        <v>9.100000000000108E-3</v>
      </c>
      <c r="F612" s="57">
        <f>TabelaCalculo[[#This Row],[SELIC]]+F611</f>
        <v>3.2877000000000001</v>
      </c>
      <c r="G612" s="69">
        <f ca="1">IF(L611="","",G611+TabelaCalculo[[#This Row],[BACEN-SÉRIE 29543]])</f>
        <v>1.9355725899999991</v>
      </c>
      <c r="H612" s="46">
        <v>2.36</v>
      </c>
      <c r="I612" s="62">
        <v>54.964221000000002</v>
      </c>
      <c r="J612" s="62">
        <v>4.4688650000000001</v>
      </c>
      <c r="K612" s="62">
        <v>54.964221000000002</v>
      </c>
      <c r="L612" s="80">
        <v>9.5000000000000639E-3</v>
      </c>
      <c r="M612" s="91">
        <f ca="1">MAX(0,-1+ROUND((1+L611)/ROUND(OFFSET(A612,0,FORMULÁRIO!$E$10-1)/OFFSET(A611,0,FORMULÁRIO!$E$10-1),4),8))</f>
        <v>4.1795200000001032E-3</v>
      </c>
      <c r="N612" s="46"/>
    </row>
    <row r="613" spans="1:14" x14ac:dyDescent="0.25">
      <c r="A613" s="59">
        <v>41944</v>
      </c>
      <c r="B613" s="62"/>
      <c r="C613" s="45"/>
      <c r="D613" s="46">
        <v>20.14</v>
      </c>
      <c r="E613" s="78">
        <v>9.5000000000000639E-3</v>
      </c>
      <c r="F613" s="57">
        <f>TabelaCalculo[[#This Row],[SELIC]]+F612</f>
        <v>3.2972000000000001</v>
      </c>
      <c r="G613" s="69">
        <f ca="1">IF(L612="","",G612+TabelaCalculo[[#This Row],[BACEN-SÉRIE 29543]])</f>
        <v>1.9412510099999991</v>
      </c>
      <c r="H613" s="46">
        <v>2.37</v>
      </c>
      <c r="I613" s="62">
        <v>55.173085</v>
      </c>
      <c r="J613" s="62">
        <v>4.4903149999999998</v>
      </c>
      <c r="K613" s="62">
        <v>55.173085</v>
      </c>
      <c r="L613" s="80">
        <v>8.3999999999999631E-3</v>
      </c>
      <c r="M613" s="91">
        <f ca="1">MAX(0,-1+ROUND((1+L612)/ROUND(OFFSET(A613,0,FORMULÁRIO!$E$10-1)/OFFSET(A612,0,FORMULÁRIO!$E$10-1),4),8))</f>
        <v>5.6784199999999618E-3</v>
      </c>
      <c r="N613" s="46"/>
    </row>
    <row r="614" spans="1:14" x14ac:dyDescent="0.25">
      <c r="A614" s="59">
        <v>41974</v>
      </c>
      <c r="B614" s="62"/>
      <c r="C614" s="45"/>
      <c r="D614" s="46">
        <v>20.14</v>
      </c>
      <c r="E614" s="78">
        <v>8.3999999999999631E-3</v>
      </c>
      <c r="F614" s="57">
        <f>TabelaCalculo[[#This Row],[SELIC]]+F613</f>
        <v>3.3056000000000001</v>
      </c>
      <c r="G614" s="69">
        <f ca="1">IF(L613="","",G613+TabelaCalculo[[#This Row],[BACEN-SÉRIE 29543]])</f>
        <v>1.944334669999999</v>
      </c>
      <c r="H614" s="46">
        <v>2.38</v>
      </c>
      <c r="I614" s="62">
        <v>55.465502000000001</v>
      </c>
      <c r="J614" s="62">
        <v>4.5073780000000001</v>
      </c>
      <c r="K614" s="62">
        <v>55.465502000000001</v>
      </c>
      <c r="L614" s="80">
        <v>9.5999999999998309E-3</v>
      </c>
      <c r="M614" s="91">
        <f ca="1">MAX(0,-1+ROUND((1+L613)/ROUND(OFFSET(A614,0,FORMULÁRIO!$E$10-1)/OFFSET(A613,0,FORMULÁRIO!$E$10-1),4),8))</f>
        <v>3.0836599999999326E-3</v>
      </c>
      <c r="N614" s="46"/>
    </row>
    <row r="615" spans="1:14" x14ac:dyDescent="0.25">
      <c r="A615" s="59">
        <v>42005</v>
      </c>
      <c r="B615" s="62"/>
      <c r="C615" s="45"/>
      <c r="D615" s="46">
        <v>21.25</v>
      </c>
      <c r="E615" s="78">
        <v>9.5999999999998309E-3</v>
      </c>
      <c r="F615" s="57">
        <f>TabelaCalculo[[#This Row],[SELIC]]+F614</f>
        <v>3.3151999999999999</v>
      </c>
      <c r="G615" s="69">
        <f ca="1">IF(L614="","",G614+TabelaCalculo[[#This Row],[BACEN-SÉRIE 29543]])</f>
        <v>1.947713719999999</v>
      </c>
      <c r="H615" s="46">
        <v>2.39</v>
      </c>
      <c r="I615" s="62">
        <v>55.809387999999998</v>
      </c>
      <c r="J615" s="62">
        <v>4.542986</v>
      </c>
      <c r="K615" s="62">
        <v>55.809387999999998</v>
      </c>
      <c r="L615" s="80">
        <v>9.400000000000297E-3</v>
      </c>
      <c r="M615" s="91">
        <f ca="1">MAX(0,-1+ROUND((1+L614)/ROUND(OFFSET(A615,0,FORMULÁRIO!$E$10-1)/OFFSET(A614,0,FORMULÁRIO!$E$10-1),4),8))</f>
        <v>3.379049999999939E-3</v>
      </c>
      <c r="N615" s="46"/>
    </row>
    <row r="616" spans="1:14" x14ac:dyDescent="0.25">
      <c r="A616" s="59">
        <v>42036</v>
      </c>
      <c r="B616" s="62"/>
      <c r="C616" s="45"/>
      <c r="D616" s="46">
        <v>21.25</v>
      </c>
      <c r="E616" s="78">
        <v>9.400000000000297E-3</v>
      </c>
      <c r="F616" s="57">
        <f>TabelaCalculo[[#This Row],[SELIC]]+F615</f>
        <v>3.3246000000000002</v>
      </c>
      <c r="G616" s="69">
        <f ca="1">IF(L615="","",G615+TabelaCalculo[[#This Row],[BACEN-SÉRIE 29543]])</f>
        <v>1.947713719999999</v>
      </c>
      <c r="H616" s="46">
        <v>2.4</v>
      </c>
      <c r="I616" s="62">
        <v>56.635365999999998</v>
      </c>
      <c r="J616" s="62">
        <v>4.583418</v>
      </c>
      <c r="K616" s="62">
        <v>56.635365999999998</v>
      </c>
      <c r="L616" s="80">
        <v>8.1999999999999851E-3</v>
      </c>
      <c r="M616" s="91">
        <f ca="1">MAX(0,-1+ROUND((1+L615)/ROUND(OFFSET(A616,0,FORMULÁRIO!$E$10-1)/OFFSET(A615,0,FORMULÁRIO!$E$10-1),4),8))</f>
        <v>0</v>
      </c>
      <c r="N616" s="46"/>
    </row>
    <row r="617" spans="1:14" x14ac:dyDescent="0.25">
      <c r="A617" s="59">
        <v>42064</v>
      </c>
      <c r="B617" s="62"/>
      <c r="C617" s="45"/>
      <c r="D617" s="46">
        <v>21.25</v>
      </c>
      <c r="E617" s="78">
        <v>8.1999999999999851E-3</v>
      </c>
      <c r="F617" s="57">
        <f>TabelaCalculo[[#This Row],[SELIC]]+F616</f>
        <v>3.3328000000000002</v>
      </c>
      <c r="G617" s="69">
        <f ca="1">IF(L616="","",G616+TabelaCalculo[[#This Row],[BACEN-SÉRIE 29543]])</f>
        <v>1.947713719999999</v>
      </c>
      <c r="H617" s="46">
        <v>2.41</v>
      </c>
      <c r="I617" s="62">
        <v>57.292335999999999</v>
      </c>
      <c r="J617" s="62">
        <v>4.6443770000000004</v>
      </c>
      <c r="K617" s="62">
        <v>57.292335999999999</v>
      </c>
      <c r="L617" s="80">
        <v>1.0399999999999743E-2</v>
      </c>
      <c r="M617" s="91">
        <f ca="1">MAX(0,-1+ROUND((1+L616)/ROUND(OFFSET(A617,0,FORMULÁRIO!$E$10-1)/OFFSET(A616,0,FORMULÁRIO!$E$10-1),4),8))</f>
        <v>0</v>
      </c>
      <c r="N617" s="46"/>
    </row>
    <row r="618" spans="1:14" x14ac:dyDescent="0.25">
      <c r="A618" s="59">
        <v>42095</v>
      </c>
      <c r="B618" s="62"/>
      <c r="C618" s="45"/>
      <c r="D618" s="46">
        <v>21.25</v>
      </c>
      <c r="E618" s="78">
        <v>1.0399999999999743E-2</v>
      </c>
      <c r="F618" s="57">
        <f>TabelaCalculo[[#This Row],[SELIC]]+F617</f>
        <v>3.3431999999999999</v>
      </c>
      <c r="G618" s="69">
        <f ca="1">IF(L617="","",G617+TabelaCalculo[[#This Row],[BACEN-SÉRIE 29543]])</f>
        <v>1.947713719999999</v>
      </c>
      <c r="H618" s="46">
        <v>2.42</v>
      </c>
      <c r="I618" s="62">
        <v>58.157449999999997</v>
      </c>
      <c r="J618" s="62">
        <v>4.7019669999999998</v>
      </c>
      <c r="K618" s="62">
        <v>58.157449999999997</v>
      </c>
      <c r="L618" s="80">
        <v>9.5000000000000639E-3</v>
      </c>
      <c r="M618" s="91">
        <f ca="1">MAX(0,-1+ROUND((1+L617)/ROUND(OFFSET(A618,0,FORMULÁRIO!$E$10-1)/OFFSET(A617,0,FORMULÁRIO!$E$10-1),4),8))</f>
        <v>0</v>
      </c>
      <c r="N618" s="46"/>
    </row>
    <row r="619" spans="1:14" x14ac:dyDescent="0.25">
      <c r="A619" s="59">
        <v>42125</v>
      </c>
      <c r="B619" s="62"/>
      <c r="C619" s="45"/>
      <c r="D619" s="46">
        <v>21.25</v>
      </c>
      <c r="E619" s="78">
        <v>9.5000000000000639E-3</v>
      </c>
      <c r="F619" s="57">
        <f>TabelaCalculo[[#This Row],[SELIC]]+F618</f>
        <v>3.3527</v>
      </c>
      <c r="G619" s="69">
        <f ca="1">IF(L618="","",G618+TabelaCalculo[[#This Row],[BACEN-SÉRIE 29543]])</f>
        <v>1.950096799999999</v>
      </c>
      <c r="H619" s="46">
        <v>2.4300000000000002</v>
      </c>
      <c r="I619" s="62">
        <v>58.570366999999997</v>
      </c>
      <c r="J619" s="62">
        <v>4.7522779999999996</v>
      </c>
      <c r="K619" s="62">
        <v>58.570366999999997</v>
      </c>
      <c r="L619" s="80">
        <v>9.9000000000000199E-3</v>
      </c>
      <c r="M619" s="91">
        <f ca="1">MAX(0,-1+ROUND((1+L618)/ROUND(OFFSET(A619,0,FORMULÁRIO!$E$10-1)/OFFSET(A618,0,FORMULÁRIO!$E$10-1),4),8))</f>
        <v>2.3830799999999819E-3</v>
      </c>
      <c r="N619" s="46"/>
    </row>
    <row r="620" spans="1:14" x14ac:dyDescent="0.25">
      <c r="A620" s="59">
        <v>42156</v>
      </c>
      <c r="B620" s="62"/>
      <c r="C620" s="45"/>
      <c r="D620" s="46">
        <v>21.25</v>
      </c>
      <c r="E620" s="78">
        <v>9.9000000000000199E-3</v>
      </c>
      <c r="F620" s="57">
        <f>TabelaCalculo[[#This Row],[SELIC]]+F619</f>
        <v>3.3626</v>
      </c>
      <c r="G620" s="69">
        <f ca="1">IF(L619="","",G619+TabelaCalculo[[#This Row],[BACEN-SÉRIE 29543]])</f>
        <v>1.950096799999999</v>
      </c>
      <c r="H620" s="46">
        <v>2.44</v>
      </c>
      <c r="I620" s="62">
        <v>59.150213000000001</v>
      </c>
      <c r="J620" s="62">
        <v>4.7807909999999998</v>
      </c>
      <c r="K620" s="62">
        <v>59.150213000000001</v>
      </c>
      <c r="L620" s="80">
        <v>1.0699999999999932E-2</v>
      </c>
      <c r="M620" s="91">
        <f ca="1">MAX(0,-1+ROUND((1+L619)/ROUND(OFFSET(A620,0,FORMULÁRIO!$E$10-1)/OFFSET(A619,0,FORMULÁRIO!$E$10-1),4),8))</f>
        <v>0</v>
      </c>
      <c r="N620" s="46"/>
    </row>
    <row r="621" spans="1:14" x14ac:dyDescent="0.25">
      <c r="A621" s="59">
        <v>42186</v>
      </c>
      <c r="B621" s="62"/>
      <c r="C621" s="45"/>
      <c r="D621" s="46">
        <v>21.25</v>
      </c>
      <c r="E621" s="78">
        <v>1.0699999999999932E-2</v>
      </c>
      <c r="F621" s="57">
        <f>TabelaCalculo[[#This Row],[SELIC]]+F620</f>
        <v>3.3733</v>
      </c>
      <c r="G621" s="69">
        <f ca="1">IF(L620="","",G620+TabelaCalculo[[#This Row],[BACEN-SÉRIE 29543]])</f>
        <v>1.9530738799999989</v>
      </c>
      <c r="H621" s="46">
        <v>2.4500000000000002</v>
      </c>
      <c r="I621" s="62">
        <v>59.605668999999999</v>
      </c>
      <c r="J621" s="62">
        <v>4.8281200000000002</v>
      </c>
      <c r="K621" s="62">
        <v>59.605668999999999</v>
      </c>
      <c r="L621" s="80">
        <v>1.1800000000000033E-2</v>
      </c>
      <c r="M621" s="91">
        <f ca="1">MAX(0,-1+ROUND((1+L620)/ROUND(OFFSET(A621,0,FORMULÁRIO!$E$10-1)/OFFSET(A620,0,FORMULÁRIO!$E$10-1),4),8))</f>
        <v>2.9770799999999653E-3</v>
      </c>
      <c r="N621" s="46"/>
    </row>
    <row r="622" spans="1:14" x14ac:dyDescent="0.25">
      <c r="A622" s="59">
        <v>42217</v>
      </c>
      <c r="B622" s="62"/>
      <c r="C622" s="45"/>
      <c r="D622" s="46">
        <v>21.25</v>
      </c>
      <c r="E622" s="78">
        <v>1.1800000000000033E-2</v>
      </c>
      <c r="F622" s="57">
        <f>TabelaCalculo[[#This Row],[SELIC]]+F621</f>
        <v>3.3851</v>
      </c>
      <c r="G622" s="69">
        <f ca="1">IF(L621="","",G621+TabelaCalculo[[#This Row],[BACEN-SÉRIE 29543]])</f>
        <v>1.9590392799999989</v>
      </c>
      <c r="H622" s="46">
        <v>2.46</v>
      </c>
      <c r="I622" s="62">
        <v>59.951380999999998</v>
      </c>
      <c r="J622" s="62">
        <v>4.8566050000000001</v>
      </c>
      <c r="K622" s="62">
        <v>59.951380999999998</v>
      </c>
      <c r="L622" s="80">
        <v>1.1099999999999888E-2</v>
      </c>
      <c r="M622" s="91">
        <f ca="1">MAX(0,-1+ROUND((1+L621)/ROUND(OFFSET(A622,0,FORMULÁRIO!$E$10-1)/OFFSET(A621,0,FORMULÁRIO!$E$10-1),4),8))</f>
        <v>5.9654000000000096E-3</v>
      </c>
      <c r="N622" s="46"/>
    </row>
    <row r="623" spans="1:14" x14ac:dyDescent="0.25">
      <c r="A623" s="59">
        <v>42248</v>
      </c>
      <c r="B623" s="62"/>
      <c r="C623" s="45"/>
      <c r="D623" s="46">
        <v>21.25</v>
      </c>
      <c r="E623" s="78">
        <v>1.1099999999999888E-2</v>
      </c>
      <c r="F623" s="57">
        <f>TabelaCalculo[[#This Row],[SELIC]]+F622</f>
        <v>3.3961999999999999</v>
      </c>
      <c r="G623" s="69">
        <f ca="1">IF(L622="","",G622+TabelaCalculo[[#This Row],[BACEN-SÉRIE 29543]])</f>
        <v>1.9676178299999989</v>
      </c>
      <c r="H623" s="46">
        <v>2.4700000000000002</v>
      </c>
      <c r="I623" s="62">
        <v>60.101258999999999</v>
      </c>
      <c r="J623" s="62">
        <v>4.8774879999999996</v>
      </c>
      <c r="K623" s="62">
        <v>60.101258999999999</v>
      </c>
      <c r="L623" s="80">
        <v>1.1100000000000332E-2</v>
      </c>
      <c r="M623" s="91">
        <f ca="1">MAX(0,-1+ROUND((1+L622)/ROUND(OFFSET(A623,0,FORMULÁRIO!$E$10-1)/OFFSET(A622,0,FORMULÁRIO!$E$10-1),4),8))</f>
        <v>8.5785499999999626E-3</v>
      </c>
      <c r="N623" s="46"/>
    </row>
    <row r="624" spans="1:14" x14ac:dyDescent="0.25">
      <c r="A624" s="59">
        <v>42278</v>
      </c>
      <c r="B624" s="62"/>
      <c r="C624" s="45"/>
      <c r="D624" s="46">
        <v>21.25</v>
      </c>
      <c r="E624" s="78">
        <v>1.1100000000000332E-2</v>
      </c>
      <c r="F624" s="57">
        <f>TabelaCalculo[[#This Row],[SELIC]]+F623</f>
        <v>3.4073000000000002</v>
      </c>
      <c r="G624" s="69">
        <f ca="1">IF(L623="","",G623+TabelaCalculo[[#This Row],[BACEN-SÉRIE 29543]])</f>
        <v>1.9735873899999989</v>
      </c>
      <c r="H624" s="46">
        <v>2.48</v>
      </c>
      <c r="I624" s="62">
        <v>60.407775000000001</v>
      </c>
      <c r="J624" s="62">
        <v>4.8965100000000001</v>
      </c>
      <c r="K624" s="62">
        <v>60.407775000000001</v>
      </c>
      <c r="L624" s="80">
        <v>1.1099999999999888E-2</v>
      </c>
      <c r="M624" s="91">
        <f ca="1">MAX(0,-1+ROUND((1+L623)/ROUND(OFFSET(A624,0,FORMULÁRIO!$E$10-1)/OFFSET(A623,0,FORMULÁRIO!$E$10-1),4),8))</f>
        <v>5.9695600000000404E-3</v>
      </c>
      <c r="N624" s="46"/>
    </row>
    <row r="625" spans="1:14" x14ac:dyDescent="0.25">
      <c r="A625" s="59">
        <v>42309</v>
      </c>
      <c r="B625" s="62"/>
      <c r="C625" s="45"/>
      <c r="D625" s="46">
        <v>21.25</v>
      </c>
      <c r="E625" s="78">
        <v>1.1099999999999888E-2</v>
      </c>
      <c r="F625" s="57">
        <f>TabelaCalculo[[#This Row],[SELIC]]+F624</f>
        <v>3.4184000000000001</v>
      </c>
      <c r="G625" s="69">
        <f ca="1">IF(L624="","",G624+TabelaCalculo[[#This Row],[BACEN-SÉRIE 29543]])</f>
        <v>1.976961409999999</v>
      </c>
      <c r="H625" s="46">
        <v>2.4900000000000002</v>
      </c>
      <c r="I625" s="62">
        <v>60.872914000000002</v>
      </c>
      <c r="J625" s="62">
        <v>4.9288259999999999</v>
      </c>
      <c r="K625" s="62">
        <v>60.872914000000002</v>
      </c>
      <c r="L625" s="80">
        <v>1.0599999999999721E-2</v>
      </c>
      <c r="M625" s="91">
        <f ca="1">MAX(0,-1+ROUND((1+L624)/ROUND(OFFSET(A625,0,FORMULÁRIO!$E$10-1)/OFFSET(A624,0,FORMULÁRIO!$E$10-1),4),8))</f>
        <v>3.3740200000000886E-3</v>
      </c>
      <c r="N625" s="46"/>
    </row>
    <row r="626" spans="1:14" x14ac:dyDescent="0.25">
      <c r="A626" s="59">
        <v>42339</v>
      </c>
      <c r="B626" s="62"/>
      <c r="C626" s="45"/>
      <c r="D626" s="46">
        <v>21.25</v>
      </c>
      <c r="E626" s="78">
        <v>1.0599999999999721E-2</v>
      </c>
      <c r="F626" s="57">
        <f>TabelaCalculo[[#This Row],[SELIC]]+F625</f>
        <v>3.4289999999999998</v>
      </c>
      <c r="G626" s="69">
        <f ca="1">IF(L625="","",G625+TabelaCalculo[[#This Row],[BACEN-SÉRIE 29543]])</f>
        <v>1.976961409999999</v>
      </c>
      <c r="H626" s="46">
        <v>2.5</v>
      </c>
      <c r="I626" s="62">
        <v>61.548603</v>
      </c>
      <c r="J626" s="62">
        <v>4.9707210000000002</v>
      </c>
      <c r="K626" s="62">
        <v>61.548603</v>
      </c>
      <c r="L626" s="80">
        <v>1.1600000000000055E-2</v>
      </c>
      <c r="M626" s="91">
        <f ca="1">MAX(0,-1+ROUND((1+L625)/ROUND(OFFSET(A626,0,FORMULÁRIO!$E$10-1)/OFFSET(A625,0,FORMULÁRIO!$E$10-1),4),8))</f>
        <v>0</v>
      </c>
      <c r="N626" s="46"/>
    </row>
    <row r="627" spans="1:14" x14ac:dyDescent="0.25">
      <c r="A627" s="59">
        <v>42370</v>
      </c>
      <c r="B627" s="62"/>
      <c r="C627" s="45"/>
      <c r="D627" s="46">
        <v>23.55</v>
      </c>
      <c r="E627" s="78">
        <v>1.1600000000000055E-2</v>
      </c>
      <c r="F627" s="57">
        <f>TabelaCalculo[[#This Row],[SELIC]]+F626</f>
        <v>3.4405999999999999</v>
      </c>
      <c r="G627" s="69">
        <f ca="1">IF(L626="","",G626+TabelaCalculo[[#This Row],[BACEN-SÉRIE 29543]])</f>
        <v>1.9795382199999991</v>
      </c>
      <c r="H627" s="46">
        <v>2.5099999999999998</v>
      </c>
      <c r="I627" s="62">
        <v>62.102539999999998</v>
      </c>
      <c r="J627" s="62">
        <v>5.0293749999999999</v>
      </c>
      <c r="K627" s="62">
        <v>62.102539999999998</v>
      </c>
      <c r="L627" s="80">
        <v>1.0600000000000165E-2</v>
      </c>
      <c r="M627" s="91">
        <f ca="1">MAX(0,-1+ROUND((1+L626)/ROUND(OFFSET(A627,0,FORMULÁRIO!$E$10-1)/OFFSET(A626,0,FORMULÁRIO!$E$10-1),4),8))</f>
        <v>2.576810000000096E-3</v>
      </c>
      <c r="N627" s="46"/>
    </row>
    <row r="628" spans="1:14" x14ac:dyDescent="0.25">
      <c r="A628" s="59">
        <v>42401</v>
      </c>
      <c r="B628" s="62"/>
      <c r="C628" s="45"/>
      <c r="D628" s="46">
        <v>23.55</v>
      </c>
      <c r="E628" s="78">
        <v>1.0600000000000165E-2</v>
      </c>
      <c r="F628" s="57">
        <f>TabelaCalculo[[#This Row],[SELIC]]+F627</f>
        <v>3.4512</v>
      </c>
      <c r="G628" s="69">
        <f ca="1">IF(L627="","",G627+TabelaCalculo[[#This Row],[BACEN-SÉRIE 29543]])</f>
        <v>1.9795382199999991</v>
      </c>
      <c r="H628" s="46">
        <v>2.52</v>
      </c>
      <c r="I628" s="62">
        <v>63.040287999999997</v>
      </c>
      <c r="J628" s="62">
        <v>5.0756449999999997</v>
      </c>
      <c r="K628" s="62">
        <v>63.040287999999997</v>
      </c>
      <c r="L628" s="80">
        <v>9.9999999999997868E-3</v>
      </c>
      <c r="M628" s="91">
        <f ca="1">MAX(0,-1+ROUND((1+L627)/ROUND(OFFSET(A628,0,FORMULÁRIO!$E$10-1)/OFFSET(A627,0,FORMULÁRIO!$E$10-1),4),8))</f>
        <v>0</v>
      </c>
      <c r="N628" s="46"/>
    </row>
    <row r="629" spans="1:14" x14ac:dyDescent="0.25">
      <c r="A629" s="59">
        <v>42430</v>
      </c>
      <c r="B629" s="62"/>
      <c r="C629" s="45"/>
      <c r="D629" s="46">
        <v>23.55</v>
      </c>
      <c r="E629" s="78">
        <v>9.9999999999997868E-3</v>
      </c>
      <c r="F629" s="57">
        <f>TabelaCalculo[[#This Row],[SELIC]]+F628</f>
        <v>3.4611999999999998</v>
      </c>
      <c r="G629" s="69">
        <f ca="1">IF(L628="","",G628+TabelaCalculo[[#This Row],[BACEN-SÉRIE 29543]])</f>
        <v>1.9800335099999991</v>
      </c>
      <c r="H629" s="46">
        <v>2.5299999999999998</v>
      </c>
      <c r="I629" s="62">
        <v>63.63917</v>
      </c>
      <c r="J629" s="62">
        <v>5.1477190000000004</v>
      </c>
      <c r="K629" s="62">
        <v>63.63917</v>
      </c>
      <c r="L629" s="80">
        <v>1.1600000000000055E-2</v>
      </c>
      <c r="M629" s="91">
        <f ca="1">MAX(0,-1+ROUND((1+L628)/ROUND(OFFSET(A629,0,FORMULÁRIO!$E$10-1)/OFFSET(A628,0,FORMULÁRIO!$E$10-1),4),8))</f>
        <v>4.9528999999992607E-4</v>
      </c>
      <c r="N629" s="46"/>
    </row>
    <row r="630" spans="1:14" x14ac:dyDescent="0.25">
      <c r="A630" s="59">
        <v>42461</v>
      </c>
      <c r="B630" s="62"/>
      <c r="C630" s="45"/>
      <c r="D630" s="46">
        <v>23.55</v>
      </c>
      <c r="E630" s="78">
        <v>1.1600000000000055E-2</v>
      </c>
      <c r="F630" s="57">
        <f>TabelaCalculo[[#This Row],[SELIC]]+F629</f>
        <v>3.4727999999999999</v>
      </c>
      <c r="G630" s="69">
        <f ca="1">IF(L629="","",G629+TabelaCalculo[[#This Row],[BACEN-SÉRIE 29543]])</f>
        <v>1.987201969999999</v>
      </c>
      <c r="H630" s="46">
        <v>2.54</v>
      </c>
      <c r="I630" s="62">
        <v>63.919181999999999</v>
      </c>
      <c r="J630" s="62">
        <v>5.1698539999999999</v>
      </c>
      <c r="K630" s="62">
        <v>63.919181999999999</v>
      </c>
      <c r="L630" s="80">
        <v>1.0600000000000165E-2</v>
      </c>
      <c r="M630" s="91">
        <f ca="1">MAX(0,-1+ROUND((1+L629)/ROUND(OFFSET(A630,0,FORMULÁRIO!$E$10-1)/OFFSET(A629,0,FORMULÁRIO!$E$10-1),4),8))</f>
        <v>7.1684599999999321E-3</v>
      </c>
      <c r="N630" s="46"/>
    </row>
    <row r="631" spans="1:14" x14ac:dyDescent="0.25">
      <c r="A631" s="59">
        <v>42491</v>
      </c>
      <c r="B631" s="62"/>
      <c r="C631" s="45"/>
      <c r="D631" s="46">
        <v>23.55</v>
      </c>
      <c r="E631" s="78">
        <v>1.0600000000000165E-2</v>
      </c>
      <c r="F631" s="57">
        <f>TabelaCalculo[[#This Row],[SELIC]]+F630</f>
        <v>3.4834000000000001</v>
      </c>
      <c r="G631" s="69">
        <f ca="1">IF(L630="","",G630+TabelaCalculo[[#This Row],[BACEN-SÉRIE 29543]])</f>
        <v>1.991375259999999</v>
      </c>
      <c r="H631" s="46">
        <v>2.5499999999999998</v>
      </c>
      <c r="I631" s="62">
        <v>64.328264000000004</v>
      </c>
      <c r="J631" s="62">
        <v>5.1962200000000003</v>
      </c>
      <c r="K631" s="62">
        <v>64.328264000000004</v>
      </c>
      <c r="L631" s="80">
        <v>1.1099999999999888E-2</v>
      </c>
      <c r="M631" s="91">
        <f ca="1">MAX(0,-1+ROUND((1+L630)/ROUND(OFFSET(A631,0,FORMULÁRIO!$E$10-1)/OFFSET(A630,0,FORMULÁRIO!$E$10-1),4),8))</f>
        <v>4.1732899999999962E-3</v>
      </c>
      <c r="N631" s="46"/>
    </row>
    <row r="632" spans="1:14" x14ac:dyDescent="0.25">
      <c r="A632" s="59">
        <v>42522</v>
      </c>
      <c r="B632" s="62"/>
      <c r="C632" s="45"/>
      <c r="D632" s="46">
        <v>23.55</v>
      </c>
      <c r="E632" s="78">
        <v>1.1099999999999888E-2</v>
      </c>
      <c r="F632" s="57">
        <f>TabelaCalculo[[#This Row],[SELIC]]+F631</f>
        <v>3.4944999999999999</v>
      </c>
      <c r="G632" s="69">
        <f ca="1">IF(L631="","",G631+TabelaCalculo[[#This Row],[BACEN-SÉRIE 29543]])</f>
        <v>1.9926626399999989</v>
      </c>
      <c r="H632" s="46">
        <v>2.56</v>
      </c>
      <c r="I632" s="62">
        <v>64.958680000000001</v>
      </c>
      <c r="J632" s="62">
        <v>5.240907</v>
      </c>
      <c r="K632" s="62">
        <v>64.958680000000001</v>
      </c>
      <c r="L632" s="80">
        <v>1.1600000000000055E-2</v>
      </c>
      <c r="M632" s="91">
        <f ca="1">MAX(0,-1+ROUND((1+L631)/ROUND(OFFSET(A632,0,FORMULÁRIO!$E$10-1)/OFFSET(A631,0,FORMULÁRIO!$E$10-1),4),8))</f>
        <v>1.2873799999999491E-3</v>
      </c>
      <c r="N632" s="46"/>
    </row>
    <row r="633" spans="1:14" x14ac:dyDescent="0.25">
      <c r="A633" s="59">
        <v>42552</v>
      </c>
      <c r="B633" s="62"/>
      <c r="C633" s="45"/>
      <c r="D633" s="46">
        <v>23.55</v>
      </c>
      <c r="E633" s="78">
        <v>1.1600000000000055E-2</v>
      </c>
      <c r="F633" s="57">
        <f>TabelaCalculo[[#This Row],[SELIC]]+F632</f>
        <v>3.5061</v>
      </c>
      <c r="G633" s="69">
        <f ca="1">IF(L632="","",G632+TabelaCalculo[[#This Row],[BACEN-SÉRIE 29543]])</f>
        <v>1.999530359999999</v>
      </c>
      <c r="H633" s="46">
        <v>2.57</v>
      </c>
      <c r="I633" s="62">
        <v>65.263985000000005</v>
      </c>
      <c r="J633" s="62">
        <v>5.26187</v>
      </c>
      <c r="K633" s="62">
        <v>65.263985000000005</v>
      </c>
      <c r="L633" s="80">
        <v>1.1099999999999888E-2</v>
      </c>
      <c r="M633" s="91">
        <f ca="1">MAX(0,-1+ROUND((1+L632)/ROUND(OFFSET(A633,0,FORMULÁRIO!$E$10-1)/OFFSET(A632,0,FORMULÁRIO!$E$10-1),4),8))</f>
        <v>6.8677200000000216E-3</v>
      </c>
      <c r="N633" s="46"/>
    </row>
    <row r="634" spans="1:14" x14ac:dyDescent="0.25">
      <c r="A634" s="59">
        <v>42583</v>
      </c>
      <c r="B634" s="62"/>
      <c r="C634" s="45"/>
      <c r="D634" s="46">
        <v>23.55</v>
      </c>
      <c r="E634" s="78">
        <v>1.1099999999999888E-2</v>
      </c>
      <c r="F634" s="57">
        <f>TabelaCalculo[[#This Row],[SELIC]]+F633</f>
        <v>3.5171999999999999</v>
      </c>
      <c r="G634" s="69">
        <f ca="1">IF(L633="","",G633+TabelaCalculo[[#This Row],[BACEN-SÉRIE 29543]])</f>
        <v>2.0042004699999989</v>
      </c>
      <c r="H634" s="46">
        <v>2.58</v>
      </c>
      <c r="I634" s="62">
        <v>65.681674000000001</v>
      </c>
      <c r="J634" s="62">
        <v>5.2902839999999998</v>
      </c>
      <c r="K634" s="62">
        <v>65.681674000000001</v>
      </c>
      <c r="L634" s="80">
        <v>1.2199999999999989E-2</v>
      </c>
      <c r="M634" s="91">
        <f ca="1">MAX(0,-1+ROUND((1+L633)/ROUND(OFFSET(A634,0,FORMULÁRIO!$E$10-1)/OFFSET(A633,0,FORMULÁRIO!$E$10-1),4),8))</f>
        <v>4.6701099999999496E-3</v>
      </c>
      <c r="N634" s="46"/>
    </row>
    <row r="635" spans="1:14" x14ac:dyDescent="0.25">
      <c r="A635" s="59">
        <v>42614</v>
      </c>
      <c r="B635" s="62"/>
      <c r="C635" s="45"/>
      <c r="D635" s="46">
        <v>23.55</v>
      </c>
      <c r="E635" s="78">
        <v>1.2199999999999989E-2</v>
      </c>
      <c r="F635" s="57">
        <f>TabelaCalculo[[#This Row],[SELIC]]+F634</f>
        <v>3.5293999999999999</v>
      </c>
      <c r="G635" s="69">
        <f ca="1">IF(L634="","",G634+TabelaCalculo[[#This Row],[BACEN-SÉRIE 29543]])</f>
        <v>2.0132723499999989</v>
      </c>
      <c r="H635" s="46">
        <v>2.59</v>
      </c>
      <c r="I635" s="62">
        <v>65.885287000000005</v>
      </c>
      <c r="J635" s="62">
        <v>5.3140900000000002</v>
      </c>
      <c r="K635" s="62">
        <v>65.885287000000005</v>
      </c>
      <c r="L635" s="80">
        <v>1.1100000000000332E-2</v>
      </c>
      <c r="M635" s="91">
        <f ca="1">MAX(0,-1+ROUND((1+L634)/ROUND(OFFSET(A635,0,FORMULÁRIO!$E$10-1)/OFFSET(A634,0,FORMULÁRIO!$E$10-1),4),8))</f>
        <v>9.0718800000000321E-3</v>
      </c>
      <c r="N635" s="46"/>
    </row>
    <row r="636" spans="1:14" x14ac:dyDescent="0.25">
      <c r="A636" s="59">
        <v>42644</v>
      </c>
      <c r="B636" s="62"/>
      <c r="C636" s="45"/>
      <c r="D636" s="46">
        <v>23.55</v>
      </c>
      <c r="E636" s="78">
        <v>1.1100000000000332E-2</v>
      </c>
      <c r="F636" s="57">
        <f>TabelaCalculo[[#This Row],[SELIC]]+F635</f>
        <v>3.5405000000000002</v>
      </c>
      <c r="G636" s="69">
        <f ca="1">IF(L635="","",G635+TabelaCalculo[[#This Row],[BACEN-SÉRIE 29543]])</f>
        <v>2.0235641199999987</v>
      </c>
      <c r="H636" s="46">
        <v>2.6</v>
      </c>
      <c r="I636" s="62">
        <v>65.937995000000001</v>
      </c>
      <c r="J636" s="62">
        <v>5.3263119999999997</v>
      </c>
      <c r="K636" s="62">
        <v>65.937995000000001</v>
      </c>
      <c r="L636" s="80">
        <v>1.0499999999999954E-2</v>
      </c>
      <c r="M636" s="91">
        <f ca="1">MAX(0,-1+ROUND((1+L635)/ROUND(OFFSET(A636,0,FORMULÁRIO!$E$10-1)/OFFSET(A635,0,FORMULÁRIO!$E$10-1),4),8))</f>
        <v>1.0291770000000033E-2</v>
      </c>
      <c r="N636" s="46"/>
    </row>
    <row r="637" spans="1:14" x14ac:dyDescent="0.25">
      <c r="A637" s="59">
        <v>42675</v>
      </c>
      <c r="B637" s="62"/>
      <c r="C637" s="45"/>
      <c r="D637" s="46">
        <v>23.55</v>
      </c>
      <c r="E637" s="78">
        <v>1.0499999999999954E-2</v>
      </c>
      <c r="F637" s="57">
        <f>TabelaCalculo[[#This Row],[SELIC]]+F636</f>
        <v>3.5510000000000002</v>
      </c>
      <c r="G637" s="69">
        <f ca="1">IF(L636="","",G636+TabelaCalculo[[#This Row],[BACEN-SÉRIE 29543]])</f>
        <v>2.0323491899999988</v>
      </c>
      <c r="H637" s="46">
        <v>2.61</v>
      </c>
      <c r="I637" s="62">
        <v>66.050089</v>
      </c>
      <c r="J637" s="62">
        <v>5.3364310000000001</v>
      </c>
      <c r="K637" s="62">
        <v>66.050089</v>
      </c>
      <c r="L637" s="80">
        <v>1.0399999999999743E-2</v>
      </c>
      <c r="M637" s="91">
        <f ca="1">MAX(0,-1+ROUND((1+L636)/ROUND(OFFSET(A637,0,FORMULÁRIO!$E$10-1)/OFFSET(A636,0,FORMULÁRIO!$E$10-1),4),8))</f>
        <v>8.7850700000000614E-3</v>
      </c>
      <c r="N637" s="46"/>
    </row>
    <row r="638" spans="1:14" x14ac:dyDescent="0.25">
      <c r="A638" s="59">
        <v>42705</v>
      </c>
      <c r="B638" s="62"/>
      <c r="C638" s="45"/>
      <c r="D638" s="46">
        <v>23.55</v>
      </c>
      <c r="E638" s="78">
        <v>1.0399999999999743E-2</v>
      </c>
      <c r="F638" s="57">
        <f>TabelaCalculo[[#This Row],[SELIC]]+F637</f>
        <v>3.5613999999999999</v>
      </c>
      <c r="G638" s="69">
        <f ca="1">IF(L637="","",G637+TabelaCalculo[[#This Row],[BACEN-SÉRIE 29543]])</f>
        <v>2.0420423999999988</v>
      </c>
      <c r="H638" s="46">
        <v>2.62</v>
      </c>
      <c r="I638" s="62">
        <v>66.096323999999996</v>
      </c>
      <c r="J638" s="62">
        <v>5.3503049999999996</v>
      </c>
      <c r="K638" s="62">
        <v>66.096323999999996</v>
      </c>
      <c r="L638" s="80">
        <v>1.1200000000000099E-2</v>
      </c>
      <c r="M638" s="91">
        <f ca="1">MAX(0,-1+ROUND((1+L637)/ROUND(OFFSET(A638,0,FORMULÁRIO!$E$10-1)/OFFSET(A637,0,FORMULÁRIO!$E$10-1),4),8))</f>
        <v>9.6932100000000077E-3</v>
      </c>
      <c r="N638" s="46"/>
    </row>
    <row r="639" spans="1:14" x14ac:dyDescent="0.25">
      <c r="A639" s="59">
        <v>42736</v>
      </c>
      <c r="B639" s="62"/>
      <c r="C639" s="45"/>
      <c r="D639" s="46">
        <v>25.07</v>
      </c>
      <c r="E639" s="78">
        <v>1.1200000000000099E-2</v>
      </c>
      <c r="F639" s="57">
        <f>TabelaCalculo[[#This Row],[SELIC]]+F638</f>
        <v>3.5726</v>
      </c>
      <c r="G639" s="69">
        <f ca="1">IF(L638="","",G638+TabelaCalculo[[#This Row],[BACEN-SÉRIE 29543]])</f>
        <v>2.0518286999999988</v>
      </c>
      <c r="H639" s="46">
        <v>2.63</v>
      </c>
      <c r="I639" s="62">
        <v>66.188857999999996</v>
      </c>
      <c r="J639" s="62">
        <v>5.3604700000000003</v>
      </c>
      <c r="K639" s="62">
        <v>66.188857999999996</v>
      </c>
      <c r="L639" s="80">
        <v>1.089999999999991E-2</v>
      </c>
      <c r="M639" s="91">
        <f ca="1">MAX(0,-1+ROUND((1+L638)/ROUND(OFFSET(A639,0,FORMULÁRIO!$E$10-1)/OFFSET(A638,0,FORMULÁRIO!$E$10-1),4),8))</f>
        <v>9.7863000000000255E-3</v>
      </c>
      <c r="N639" s="46"/>
    </row>
    <row r="640" spans="1:14" x14ac:dyDescent="0.25">
      <c r="A640" s="59">
        <v>42767</v>
      </c>
      <c r="B640" s="62"/>
      <c r="C640" s="45"/>
      <c r="D640" s="46">
        <v>25.07</v>
      </c>
      <c r="E640" s="78">
        <v>1.089999999999991E-2</v>
      </c>
      <c r="F640" s="57">
        <f>TabelaCalculo[[#This Row],[SELIC]]+F639</f>
        <v>3.5834999999999999</v>
      </c>
      <c r="G640" s="69">
        <f ca="1">IF(L639="","",G639+TabelaCalculo[[#This Row],[BACEN-SÉRIE 29543]])</f>
        <v>2.058500679999999</v>
      </c>
      <c r="H640" s="46">
        <v>2.64</v>
      </c>
      <c r="I640" s="62">
        <v>66.466851000000005</v>
      </c>
      <c r="J640" s="62">
        <v>5.3770870000000004</v>
      </c>
      <c r="K640" s="62">
        <v>66.466851000000005</v>
      </c>
      <c r="L640" s="80">
        <v>8.7000000000001521E-3</v>
      </c>
      <c r="M640" s="91">
        <f ca="1">MAX(0,-1+ROUND((1+L639)/ROUND(OFFSET(A640,0,FORMULÁRIO!$E$10-1)/OFFSET(A639,0,FORMULÁRIO!$E$10-1),4),8))</f>
        <v>6.6719799999999108E-3</v>
      </c>
      <c r="N640" s="46"/>
    </row>
    <row r="641" spans="1:14" x14ac:dyDescent="0.25">
      <c r="A641" s="59">
        <v>42795</v>
      </c>
      <c r="B641" s="62"/>
      <c r="C641" s="45"/>
      <c r="D641" s="46">
        <v>25.07</v>
      </c>
      <c r="E641" s="78">
        <v>8.7000000000001521E-3</v>
      </c>
      <c r="F641" s="57">
        <f>TabelaCalculo[[#This Row],[SELIC]]+F640</f>
        <v>3.5922000000000001</v>
      </c>
      <c r="G641" s="69">
        <f ca="1">IF(L640="","",G640+TabelaCalculo[[#This Row],[BACEN-SÉRIE 29543]])</f>
        <v>2.0647855999999987</v>
      </c>
      <c r="H641" s="46">
        <v>2.65</v>
      </c>
      <c r="I641" s="62">
        <v>66.626371000000006</v>
      </c>
      <c r="J641" s="62">
        <v>5.406123</v>
      </c>
      <c r="K641" s="62">
        <v>66.626371000000006</v>
      </c>
      <c r="L641" s="80">
        <v>1.0499999999999954E-2</v>
      </c>
      <c r="M641" s="91">
        <f ca="1">MAX(0,-1+ROUND((1+L640)/ROUND(OFFSET(A641,0,FORMULÁRIO!$E$10-1)/OFFSET(A640,0,FORMULÁRIO!$E$10-1),4),8))</f>
        <v>6.2849199999999161E-3</v>
      </c>
      <c r="N641" s="46"/>
    </row>
    <row r="642" spans="1:14" x14ac:dyDescent="0.25">
      <c r="A642" s="59">
        <v>42826</v>
      </c>
      <c r="B642" s="62"/>
      <c r="C642" s="45"/>
      <c r="D642" s="46">
        <v>25.07</v>
      </c>
      <c r="E642" s="78">
        <v>1.0499999999999954E-2</v>
      </c>
      <c r="F642" s="57">
        <f>TabelaCalculo[[#This Row],[SELIC]]+F641</f>
        <v>3.6027</v>
      </c>
      <c r="G642" s="69">
        <f ca="1">IF(L641="","",G641+TabelaCalculo[[#This Row],[BACEN-SÉRIE 29543]])</f>
        <v>2.0720623099999989</v>
      </c>
      <c r="H642" s="46">
        <v>2.66</v>
      </c>
      <c r="I642" s="62">
        <v>66.839574999999996</v>
      </c>
      <c r="J642" s="62">
        <v>5.4142320000000002</v>
      </c>
      <c r="K642" s="62">
        <v>66.839574999999996</v>
      </c>
      <c r="L642" s="80">
        <v>7.8999999999997961E-3</v>
      </c>
      <c r="M642" s="91">
        <f ca="1">MAX(0,-1+ROUND((1+L641)/ROUND(OFFSET(A642,0,FORMULÁRIO!$E$10-1)/OFFSET(A641,0,FORMULÁRIO!$E$10-1),4),8))</f>
        <v>7.276709999999964E-3</v>
      </c>
      <c r="N642" s="46"/>
    </row>
    <row r="643" spans="1:14" x14ac:dyDescent="0.25">
      <c r="A643" s="59">
        <v>42856</v>
      </c>
      <c r="B643" s="62"/>
      <c r="C643" s="45"/>
      <c r="D643" s="46">
        <v>25.07</v>
      </c>
      <c r="E643" s="78">
        <v>7.8999999999997961E-3</v>
      </c>
      <c r="F643" s="57">
        <f>TabelaCalculo[[#This Row],[SELIC]]+F642</f>
        <v>3.6105999999999998</v>
      </c>
      <c r="G643" s="69">
        <f ca="1">IF(L642="","",G642+TabelaCalculo[[#This Row],[BACEN-SÉRIE 29543]])</f>
        <v>2.0791566299999991</v>
      </c>
      <c r="H643" s="46">
        <v>2.67</v>
      </c>
      <c r="I643" s="62">
        <v>66.893045999999998</v>
      </c>
      <c r="J643" s="62">
        <v>5.4256010000000003</v>
      </c>
      <c r="K643" s="62">
        <v>66.893045999999998</v>
      </c>
      <c r="L643" s="80">
        <v>9.300000000000086E-3</v>
      </c>
      <c r="M643" s="91">
        <f ca="1">MAX(0,-1+ROUND((1+L642)/ROUND(OFFSET(A643,0,FORMULÁRIO!$E$10-1)/OFFSET(A642,0,FORMULÁRIO!$E$10-1),4),8))</f>
        <v>7.0943199999999873E-3</v>
      </c>
      <c r="N643" s="46"/>
    </row>
    <row r="644" spans="1:14" x14ac:dyDescent="0.25">
      <c r="A644" s="59">
        <v>42887</v>
      </c>
      <c r="B644" s="62"/>
      <c r="C644" s="45"/>
      <c r="D644" s="46">
        <v>25.07</v>
      </c>
      <c r="E644" s="78">
        <v>9.300000000000086E-3</v>
      </c>
      <c r="F644" s="57">
        <f>TabelaCalculo[[#This Row],[SELIC]]+F643</f>
        <v>3.6198999999999999</v>
      </c>
      <c r="G644" s="69">
        <f ca="1">IF(L643="","",G643+TabelaCalculo[[#This Row],[BACEN-SÉRIE 29543]])</f>
        <v>2.084836179999999</v>
      </c>
      <c r="H644" s="46">
        <v>2.68</v>
      </c>
      <c r="I644" s="62">
        <v>67.133859999999999</v>
      </c>
      <c r="J644" s="62">
        <v>5.4386219999999996</v>
      </c>
      <c r="K644" s="62">
        <v>67.133859999999999</v>
      </c>
      <c r="L644" s="80">
        <v>8.1000000000002181E-3</v>
      </c>
      <c r="M644" s="91">
        <f ca="1">MAX(0,-1+ROUND((1+L643)/ROUND(OFFSET(A644,0,FORMULÁRIO!$E$10-1)/OFFSET(A643,0,FORMULÁRIO!$E$10-1),4),8))</f>
        <v>5.6795499999999777E-3</v>
      </c>
      <c r="N644" s="46"/>
    </row>
    <row r="645" spans="1:14" x14ac:dyDescent="0.25">
      <c r="A645" s="59">
        <v>42917</v>
      </c>
      <c r="B645" s="62"/>
      <c r="C645" s="45"/>
      <c r="D645" s="46">
        <v>25.07</v>
      </c>
      <c r="E645" s="78">
        <v>8.1000000000002181E-3</v>
      </c>
      <c r="F645" s="57">
        <f>TabelaCalculo[[#This Row],[SELIC]]+F644</f>
        <v>3.6280000000000001</v>
      </c>
      <c r="G645" s="69">
        <f ca="1">IF(L644="","",G644+TabelaCalculo[[#This Row],[BACEN-SÉRIE 29543]])</f>
        <v>2.0959695799999993</v>
      </c>
      <c r="H645" s="46">
        <v>2.69</v>
      </c>
      <c r="I645" s="62">
        <v>66.932457999999997</v>
      </c>
      <c r="J645" s="62">
        <v>5.4473229999999999</v>
      </c>
      <c r="K645" s="62">
        <v>66.932457999999997</v>
      </c>
      <c r="L645" s="80">
        <v>8.0000000000000071E-3</v>
      </c>
      <c r="M645" s="91">
        <f ca="1">MAX(0,-1+ROUND((1+L644)/ROUND(OFFSET(A645,0,FORMULÁRIO!$E$10-1)/OFFSET(A644,0,FORMULÁRIO!$E$10-1),4),8))</f>
        <v>1.1133400000000071E-2</v>
      </c>
      <c r="N645" s="46"/>
    </row>
    <row r="646" spans="1:14" x14ac:dyDescent="0.25">
      <c r="A646" s="59">
        <v>42948</v>
      </c>
      <c r="B646" s="62"/>
      <c r="C646" s="45"/>
      <c r="D646" s="46">
        <v>25.07</v>
      </c>
      <c r="E646" s="78">
        <v>8.0000000000000071E-3</v>
      </c>
      <c r="F646" s="57">
        <f>TabelaCalculo[[#This Row],[SELIC]]+F645</f>
        <v>3.6360000000000001</v>
      </c>
      <c r="G646" s="69">
        <f ca="1">IF(L645="","",G645+TabelaCalculo[[#This Row],[BACEN-SÉRIE 29543]])</f>
        <v>2.1022588899999994</v>
      </c>
      <c r="H646" s="46">
        <v>2.7</v>
      </c>
      <c r="I646" s="62">
        <v>67.046243000000004</v>
      </c>
      <c r="J646" s="62">
        <v>5.4375169999999997</v>
      </c>
      <c r="K646" s="62">
        <v>67.046243000000004</v>
      </c>
      <c r="L646" s="80">
        <v>8.0000000000000071E-3</v>
      </c>
      <c r="M646" s="91">
        <f ca="1">MAX(0,-1+ROUND((1+L645)/ROUND(OFFSET(A646,0,FORMULÁRIO!$E$10-1)/OFFSET(A645,0,FORMULÁRIO!$E$10-1),4),8))</f>
        <v>6.2893100000001034E-3</v>
      </c>
      <c r="N646" s="46"/>
    </row>
    <row r="647" spans="1:14" x14ac:dyDescent="0.25">
      <c r="A647" s="59">
        <v>42979</v>
      </c>
      <c r="B647" s="62"/>
      <c r="C647" s="45"/>
      <c r="D647" s="46">
        <v>25.07</v>
      </c>
      <c r="E647" s="78">
        <v>8.0000000000000071E-3</v>
      </c>
      <c r="F647" s="57">
        <f>TabelaCalculo[[#This Row],[SELIC]]+F646</f>
        <v>3.6440000000000001</v>
      </c>
      <c r="G647" s="69">
        <f ca="1">IF(L646="","",G646+TabelaCalculo[[#This Row],[BACEN-SÉRIE 29543]])</f>
        <v>2.1105613799999992</v>
      </c>
      <c r="H647" s="46">
        <v>2.71</v>
      </c>
      <c r="I647" s="62">
        <v>67.026128999999997</v>
      </c>
      <c r="J647" s="62">
        <v>5.4565479999999997</v>
      </c>
      <c r="K647" s="62">
        <v>67.026128999999997</v>
      </c>
      <c r="L647" s="80">
        <v>6.3999999999997392E-3</v>
      </c>
      <c r="M647" s="91">
        <f ca="1">MAX(0,-1+ROUND((1+L646)/ROUND(OFFSET(A647,0,FORMULÁRIO!$E$10-1)/OFFSET(A646,0,FORMULÁRIO!$E$10-1),4),8))</f>
        <v>8.3024899999999402E-3</v>
      </c>
      <c r="N647" s="46"/>
    </row>
    <row r="648" spans="1:14" x14ac:dyDescent="0.25">
      <c r="A648" s="59">
        <v>43009</v>
      </c>
      <c r="B648" s="62"/>
      <c r="C648" s="45"/>
      <c r="D648" s="46">
        <v>25.07</v>
      </c>
      <c r="E648" s="78">
        <v>6.3999999999997392E-3</v>
      </c>
      <c r="F648" s="57">
        <f>TabelaCalculo[[#This Row],[SELIC]]+F647</f>
        <v>3.6503999999999999</v>
      </c>
      <c r="G648" s="69">
        <f ca="1">IF(L647="","",G647+TabelaCalculo[[#This Row],[BACEN-SÉRIE 29543]])</f>
        <v>2.1171626999999988</v>
      </c>
      <c r="H648" s="46">
        <v>2.72</v>
      </c>
      <c r="I648" s="62">
        <v>67.012722999999994</v>
      </c>
      <c r="J648" s="62">
        <v>5.4625500000000002</v>
      </c>
      <c r="K648" s="62">
        <v>67.012722999999994</v>
      </c>
      <c r="L648" s="80">
        <v>6.4000000000001833E-3</v>
      </c>
      <c r="M648" s="91">
        <f ca="1">MAX(0,-1+ROUND((1+L647)/ROUND(OFFSET(A648,0,FORMULÁRIO!$E$10-1)/OFFSET(A647,0,FORMULÁRIO!$E$10-1),4),8))</f>
        <v>6.6013199999999106E-3</v>
      </c>
      <c r="N648" s="46"/>
    </row>
    <row r="649" spans="1:14" x14ac:dyDescent="0.25">
      <c r="A649" s="59">
        <v>43040</v>
      </c>
      <c r="B649" s="62"/>
      <c r="C649" s="45"/>
      <c r="D649" s="46">
        <v>25.07</v>
      </c>
      <c r="E649" s="78">
        <v>6.4000000000001833E-3</v>
      </c>
      <c r="F649" s="57">
        <f>TabelaCalculo[[#This Row],[SELIC]]+F648</f>
        <v>3.6568000000000001</v>
      </c>
      <c r="G649" s="69">
        <f ca="1">IF(L648="","",G648+TabelaCalculo[[#This Row],[BACEN-SÉRIE 29543]])</f>
        <v>2.1198527499999988</v>
      </c>
      <c r="H649" s="46">
        <v>2.73</v>
      </c>
      <c r="I649" s="62">
        <v>67.260670000000005</v>
      </c>
      <c r="J649" s="62">
        <v>5.481122</v>
      </c>
      <c r="K649" s="62">
        <v>67.260670000000005</v>
      </c>
      <c r="L649" s="80">
        <v>5.7000000000000384E-3</v>
      </c>
      <c r="M649" s="91">
        <f ca="1">MAX(0,-1+ROUND((1+L648)/ROUND(OFFSET(A649,0,FORMULÁRIO!$E$10-1)/OFFSET(A648,0,FORMULÁRIO!$E$10-1),4),8))</f>
        <v>2.6900499999999994E-3</v>
      </c>
      <c r="N649" s="46"/>
    </row>
    <row r="650" spans="1:14" x14ac:dyDescent="0.25">
      <c r="A650" s="59">
        <v>43070</v>
      </c>
      <c r="B650" s="62"/>
      <c r="C650" s="45"/>
      <c r="D650" s="46">
        <v>25.07</v>
      </c>
      <c r="E650" s="78">
        <v>5.7000000000000384E-3</v>
      </c>
      <c r="F650" s="57">
        <f>TabelaCalculo[[#This Row],[SELIC]]+F649</f>
        <v>3.6625000000000001</v>
      </c>
      <c r="G650" s="69">
        <f ca="1">IF(L649="","",G649+TabelaCalculo[[#This Row],[BACEN-SÉRIE 29543]])</f>
        <v>2.1237457399999986</v>
      </c>
      <c r="H650" s="46">
        <v>2.74</v>
      </c>
      <c r="I650" s="62">
        <v>67.381738999999996</v>
      </c>
      <c r="J650" s="62">
        <v>5.4986610000000002</v>
      </c>
      <c r="K650" s="62">
        <v>67.381738999999996</v>
      </c>
      <c r="L650" s="80">
        <v>5.3999999999998494E-3</v>
      </c>
      <c r="M650" s="91">
        <f ca="1">MAX(0,-1+ROUND((1+L649)/ROUND(OFFSET(A650,0,FORMULÁRIO!$E$10-1)/OFFSET(A649,0,FORMULÁRIO!$E$10-1),4),8))</f>
        <v>3.8929899999999851E-3</v>
      </c>
      <c r="N650" s="46"/>
    </row>
    <row r="651" spans="1:14" x14ac:dyDescent="0.25">
      <c r="A651" s="59">
        <v>43101</v>
      </c>
      <c r="B651" s="62"/>
      <c r="C651" s="45"/>
      <c r="D651" s="46">
        <v>25.7</v>
      </c>
      <c r="E651" s="78">
        <v>5.3999999999998494E-3</v>
      </c>
      <c r="F651" s="57">
        <f>TabelaCalculo[[#This Row],[SELIC]]+F650</f>
        <v>3.6678999999999999</v>
      </c>
      <c r="G651" s="69">
        <f ca="1">IF(L650="","",G650+TabelaCalculo[[#This Row],[BACEN-SÉRIE 29543]])</f>
        <v>2.1265384799999989</v>
      </c>
      <c r="H651" s="46">
        <v>2.75</v>
      </c>
      <c r="I651" s="62">
        <v>67.556931000000006</v>
      </c>
      <c r="J651" s="62">
        <v>5.517906</v>
      </c>
      <c r="K651" s="62">
        <v>67.556931000000006</v>
      </c>
      <c r="L651" s="80">
        <v>5.8000000000002494E-3</v>
      </c>
      <c r="M651" s="91">
        <f ca="1">MAX(0,-1+ROUND((1+L650)/ROUND(OFFSET(A651,0,FORMULÁRIO!$E$10-1)/OFFSET(A650,0,FORMULÁRIO!$E$10-1),4),8))</f>
        <v>2.7927400000000713E-3</v>
      </c>
      <c r="N651" s="46"/>
    </row>
    <row r="652" spans="1:14" x14ac:dyDescent="0.25">
      <c r="A652" s="59">
        <v>43132</v>
      </c>
      <c r="B652" s="62"/>
      <c r="C652" s="45"/>
      <c r="D652" s="46">
        <v>25.7</v>
      </c>
      <c r="E652" s="78">
        <v>5.8000000000002494E-3</v>
      </c>
      <c r="F652" s="57">
        <f>TabelaCalculo[[#This Row],[SELIC]]+F651</f>
        <v>3.6737000000000002</v>
      </c>
      <c r="G652" s="69">
        <f ca="1">IF(L651="","",G651+TabelaCalculo[[#This Row],[BACEN-SÉRIE 29543]])</f>
        <v>2.1300304499999987</v>
      </c>
      <c r="H652" s="46">
        <v>2.76</v>
      </c>
      <c r="I652" s="62">
        <v>67.712311</v>
      </c>
      <c r="J652" s="62">
        <v>5.5394249999999996</v>
      </c>
      <c r="K652" s="62">
        <v>67.712311</v>
      </c>
      <c r="L652" s="80">
        <v>4.6999999999997044E-3</v>
      </c>
      <c r="M652" s="91">
        <f ca="1">MAX(0,-1+ROUND((1+L651)/ROUND(OFFSET(A652,0,FORMULÁRIO!$E$10-1)/OFFSET(A651,0,FORMULÁRIO!$E$10-1),4),8))</f>
        <v>3.4919700000000109E-3</v>
      </c>
      <c r="N652" s="46"/>
    </row>
    <row r="653" spans="1:14" x14ac:dyDescent="0.25">
      <c r="A653" s="59">
        <v>43160</v>
      </c>
      <c r="B653" s="62"/>
      <c r="C653" s="45"/>
      <c r="D653" s="46">
        <v>25.7</v>
      </c>
      <c r="E653" s="78">
        <v>4.6999999999997044E-3</v>
      </c>
      <c r="F653" s="57">
        <f>TabelaCalculo[[#This Row],[SELIC]]+F652</f>
        <v>3.6783999999999999</v>
      </c>
      <c r="G653" s="69">
        <f ca="1">IF(L652="","",G652+TabelaCalculo[[#This Row],[BACEN-SÉRIE 29543]])</f>
        <v>2.1329252399999987</v>
      </c>
      <c r="H653" s="46">
        <v>2.77</v>
      </c>
      <c r="I653" s="62">
        <v>67.834192999999999</v>
      </c>
      <c r="J653" s="62">
        <v>5.5604740000000001</v>
      </c>
      <c r="K653" s="62">
        <v>67.834192999999999</v>
      </c>
      <c r="L653" s="80">
        <v>5.3000000000000824E-3</v>
      </c>
      <c r="M653" s="91">
        <f ca="1">MAX(0,-1+ROUND((1+L652)/ROUND(OFFSET(A653,0,FORMULÁRIO!$E$10-1)/OFFSET(A652,0,FORMULÁRIO!$E$10-1),4),8))</f>
        <v>2.8947900000000359E-3</v>
      </c>
      <c r="N653" s="46"/>
    </row>
    <row r="654" spans="1:14" x14ac:dyDescent="0.25">
      <c r="A654" s="59">
        <v>43191</v>
      </c>
      <c r="B654" s="62"/>
      <c r="C654" s="45"/>
      <c r="D654" s="46">
        <v>25.7</v>
      </c>
      <c r="E654" s="78">
        <v>5.3000000000000824E-3</v>
      </c>
      <c r="F654" s="57">
        <f>TabelaCalculo[[#This Row],[SELIC]]+F653</f>
        <v>3.6837</v>
      </c>
      <c r="G654" s="69">
        <f ca="1">IF(L653="","",G653+TabelaCalculo[[#This Row],[BACEN-SÉRIE 29543]])</f>
        <v>2.1375220199999987</v>
      </c>
      <c r="H654" s="46">
        <v>2.78</v>
      </c>
      <c r="I654" s="62">
        <v>67.881675999999999</v>
      </c>
      <c r="J654" s="62">
        <v>5.5660340000000001</v>
      </c>
      <c r="K654" s="62">
        <v>67.881675999999999</v>
      </c>
      <c r="L654" s="80">
        <v>5.1999999999998714E-3</v>
      </c>
      <c r="M654" s="91">
        <f ca="1">MAX(0,-1+ROUND((1+L653)/ROUND(OFFSET(A654,0,FORMULÁRIO!$E$10-1)/OFFSET(A653,0,FORMULÁRIO!$E$10-1),4),8))</f>
        <v>4.596779999999967E-3</v>
      </c>
      <c r="N654" s="46"/>
    </row>
    <row r="655" spans="1:14" x14ac:dyDescent="0.25">
      <c r="A655" s="59">
        <v>43221</v>
      </c>
      <c r="B655" s="62"/>
      <c r="C655" s="45"/>
      <c r="D655" s="46">
        <v>25.7</v>
      </c>
      <c r="E655" s="78">
        <v>5.1999999999998714E-3</v>
      </c>
      <c r="F655" s="57">
        <f>TabelaCalculo[[#This Row],[SELIC]]+F654</f>
        <v>3.6888999999999998</v>
      </c>
      <c r="G655" s="69">
        <f ca="1">IF(L654="","",G654+TabelaCalculo[[#This Row],[BACEN-SÉRIE 29543]])</f>
        <v>2.140615519999999</v>
      </c>
      <c r="H655" s="46">
        <v>2.79</v>
      </c>
      <c r="I655" s="62">
        <v>68.024226999999996</v>
      </c>
      <c r="J655" s="62">
        <v>5.5777219999999996</v>
      </c>
      <c r="K655" s="62">
        <v>68.024226999999996</v>
      </c>
      <c r="L655" s="80">
        <v>5.2000000000003155E-3</v>
      </c>
      <c r="M655" s="91">
        <f ca="1">MAX(0,-1+ROUND((1+L654)/ROUND(OFFSET(A655,0,FORMULÁRIO!$E$10-1)/OFFSET(A654,0,FORMULÁRIO!$E$10-1),4),8))</f>
        <v>3.0935000000000823E-3</v>
      </c>
      <c r="N655" s="46"/>
    </row>
    <row r="656" spans="1:14" x14ac:dyDescent="0.25">
      <c r="A656" s="59">
        <v>43252</v>
      </c>
      <c r="B656" s="62"/>
      <c r="C656" s="45"/>
      <c r="D656" s="46">
        <v>25.7</v>
      </c>
      <c r="E656" s="78">
        <v>5.2000000000003155E-3</v>
      </c>
      <c r="F656" s="57">
        <f>TabelaCalculo[[#This Row],[SELIC]]+F655</f>
        <v>3.6941000000000002</v>
      </c>
      <c r="G656" s="69">
        <f ca="1">IF(L655="","",G655+TabelaCalculo[[#This Row],[BACEN-SÉRIE 29543]])</f>
        <v>2.141511669999999</v>
      </c>
      <c r="H656" s="46">
        <v>2.8</v>
      </c>
      <c r="I656" s="62">
        <v>68.316731000000004</v>
      </c>
      <c r="J656" s="62">
        <v>5.5855300000000003</v>
      </c>
      <c r="K656" s="62">
        <v>68.316731000000004</v>
      </c>
      <c r="L656" s="80">
        <v>5.1999999999998714E-3</v>
      </c>
      <c r="M656" s="91">
        <f ca="1">MAX(0,-1+ROUND((1+L655)/ROUND(OFFSET(A656,0,FORMULÁRIO!$E$10-1)/OFFSET(A655,0,FORMULÁRIO!$E$10-1),4),8))</f>
        <v>8.9614999999998446E-4</v>
      </c>
      <c r="N656" s="46"/>
    </row>
    <row r="657" spans="1:14" x14ac:dyDescent="0.25">
      <c r="A657" s="59">
        <v>43282</v>
      </c>
      <c r="B657" s="62"/>
      <c r="C657" s="45"/>
      <c r="D657" s="46">
        <v>25.7</v>
      </c>
      <c r="E657" s="78">
        <v>5.1999999999998714E-3</v>
      </c>
      <c r="F657" s="57">
        <f>TabelaCalculo[[#This Row],[SELIC]]+F656</f>
        <v>3.6993</v>
      </c>
      <c r="G657" s="69">
        <f ca="1">IF(L656="","",G656+TabelaCalculo[[#This Row],[BACEN-SÉRIE 29543]])</f>
        <v>2.141511669999999</v>
      </c>
      <c r="H657" s="46">
        <v>2.81</v>
      </c>
      <c r="I657" s="62">
        <v>69.293660000000003</v>
      </c>
      <c r="J657" s="62">
        <v>5.6475289999999996</v>
      </c>
      <c r="K657" s="62">
        <v>69.293660000000003</v>
      </c>
      <c r="L657" s="80">
        <v>5.3999999999998494E-3</v>
      </c>
      <c r="M657" s="91">
        <f ca="1">MAX(0,-1+ROUND((1+L656)/ROUND(OFFSET(A657,0,FORMULÁRIO!$E$10-1)/OFFSET(A656,0,FORMULÁRIO!$E$10-1),4),8))</f>
        <v>0</v>
      </c>
      <c r="N657" s="46"/>
    </row>
    <row r="658" spans="1:14" x14ac:dyDescent="0.25">
      <c r="A658" s="59">
        <v>43313</v>
      </c>
      <c r="B658" s="62"/>
      <c r="C658" s="45"/>
      <c r="D658" s="46">
        <v>25.7</v>
      </c>
      <c r="E658" s="78">
        <v>5.3999999999998494E-3</v>
      </c>
      <c r="F658" s="57">
        <f>TabelaCalculo[[#This Row],[SELIC]]+F657</f>
        <v>3.7046999999999999</v>
      </c>
      <c r="G658" s="69">
        <f ca="1">IF(L657="","",G657+TabelaCalculo[[#This Row],[BACEN-SÉRIE 29543]])</f>
        <v>2.1444044399999989</v>
      </c>
      <c r="H658" s="46">
        <v>2.82</v>
      </c>
      <c r="I658" s="62">
        <v>69.466893999999996</v>
      </c>
      <c r="J658" s="62">
        <v>5.6836729999999998</v>
      </c>
      <c r="K658" s="62">
        <v>69.466893999999996</v>
      </c>
      <c r="L658" s="80">
        <v>5.7000000000000384E-3</v>
      </c>
      <c r="M658" s="91">
        <f ca="1">MAX(0,-1+ROUND((1+L657)/ROUND(OFFSET(A658,0,FORMULÁRIO!$E$10-1)/OFFSET(A657,0,FORMULÁRIO!$E$10-1),4),8))</f>
        <v>2.8927700000001E-3</v>
      </c>
      <c r="N658" s="46"/>
    </row>
    <row r="659" spans="1:14" x14ac:dyDescent="0.25">
      <c r="A659" s="59">
        <v>43344</v>
      </c>
      <c r="B659" s="62"/>
      <c r="C659" s="45"/>
      <c r="D659" s="46">
        <v>25.7</v>
      </c>
      <c r="E659" s="78">
        <v>5.7000000000000384E-3</v>
      </c>
      <c r="F659" s="57">
        <f>TabelaCalculo[[#This Row],[SELIC]]+F658</f>
        <v>3.7103999999999999</v>
      </c>
      <c r="G659" s="69">
        <f ca="1">IF(L658="","",G658+TabelaCalculo[[#This Row],[BACEN-SÉRIE 29543]])</f>
        <v>2.1501044399999989</v>
      </c>
      <c r="H659" s="46">
        <v>2.83</v>
      </c>
      <c r="I659" s="62">
        <v>69.466893999999996</v>
      </c>
      <c r="J659" s="62">
        <v>5.6910610000000004</v>
      </c>
      <c r="K659" s="62">
        <v>69.466893999999996</v>
      </c>
      <c r="L659" s="80">
        <v>4.7000000000001485E-3</v>
      </c>
      <c r="M659" s="91">
        <f ca="1">MAX(0,-1+ROUND((1+L658)/ROUND(OFFSET(A659,0,FORMULÁRIO!$E$10-1)/OFFSET(A658,0,FORMULÁRIO!$E$10-1),4),8))</f>
        <v>5.7000000000000384E-3</v>
      </c>
      <c r="N659" s="46"/>
    </row>
    <row r="660" spans="1:14" x14ac:dyDescent="0.25">
      <c r="A660" s="59">
        <v>43374</v>
      </c>
      <c r="B660" s="62"/>
      <c r="C660" s="45"/>
      <c r="D660" s="46">
        <v>25.7</v>
      </c>
      <c r="E660" s="78">
        <v>4.7000000000001485E-3</v>
      </c>
      <c r="F660" s="57">
        <f>TabelaCalculo[[#This Row],[SELIC]]+F659</f>
        <v>3.7151000000000001</v>
      </c>
      <c r="G660" s="69">
        <f ca="1">IF(L659="","",G659+TabelaCalculo[[#This Row],[BACEN-SÉRIE 29543]])</f>
        <v>2.1517993599999992</v>
      </c>
      <c r="H660" s="46">
        <v>2.84</v>
      </c>
      <c r="I660" s="62">
        <v>69.675293999999994</v>
      </c>
      <c r="J660" s="62">
        <v>5.6961820000000003</v>
      </c>
      <c r="K660" s="62">
        <v>69.675293999999994</v>
      </c>
      <c r="L660" s="80">
        <v>5.3999999999998494E-3</v>
      </c>
      <c r="M660" s="91">
        <f ca="1">MAX(0,-1+ROUND((1+L659)/ROUND(OFFSET(A660,0,FORMULÁRIO!$E$10-1)/OFFSET(A659,0,FORMULÁRIO!$E$10-1),4),8))</f>
        <v>1.6949200000000442E-3</v>
      </c>
      <c r="N660" s="46"/>
    </row>
    <row r="661" spans="1:14" x14ac:dyDescent="0.25">
      <c r="A661" s="59">
        <v>43405</v>
      </c>
      <c r="B661" s="62"/>
      <c r="C661" s="45"/>
      <c r="D661" s="46">
        <v>25.7</v>
      </c>
      <c r="E661" s="78">
        <v>5.3999999999998494E-3</v>
      </c>
      <c r="F661" s="57">
        <f>TabelaCalculo[[#This Row],[SELIC]]+F660</f>
        <v>3.7204999999999999</v>
      </c>
      <c r="G661" s="69">
        <f ca="1">IF(L660="","",G660+TabelaCalculo[[#This Row],[BACEN-SÉRIE 29543]])</f>
        <v>2.1531937799999992</v>
      </c>
      <c r="H661" s="46">
        <v>2.85</v>
      </c>
      <c r="I661" s="62">
        <v>69.953995000000006</v>
      </c>
      <c r="J661" s="62">
        <v>5.7292189999999996</v>
      </c>
      <c r="K661" s="62">
        <v>69.953995000000006</v>
      </c>
      <c r="L661" s="80">
        <v>4.9000000000001265E-3</v>
      </c>
      <c r="M661" s="91">
        <f ca="1">MAX(0,-1+ROUND((1+L660)/ROUND(OFFSET(A661,0,FORMULÁRIO!$E$10-1)/OFFSET(A660,0,FORMULÁRIO!$E$10-1),4),8))</f>
        <v>1.3944200000000073E-3</v>
      </c>
      <c r="N661" s="46"/>
    </row>
    <row r="662" spans="1:14" x14ac:dyDescent="0.25">
      <c r="A662" s="59">
        <v>43435</v>
      </c>
      <c r="B662" s="62"/>
      <c r="C662" s="45"/>
      <c r="D662" s="46">
        <v>25.7</v>
      </c>
      <c r="E662" s="78">
        <v>4.9000000000001265E-3</v>
      </c>
      <c r="F662" s="57">
        <f>TabelaCalculo[[#This Row],[SELIC]]+F661</f>
        <v>3.7254</v>
      </c>
      <c r="G662" s="69">
        <f ca="1">IF(L661="","",G661+TabelaCalculo[[#This Row],[BACEN-SÉRIE 29543]])</f>
        <v>2.1606123299999993</v>
      </c>
      <c r="H662" s="46">
        <v>2.86</v>
      </c>
      <c r="I662" s="62">
        <v>69.779110000000003</v>
      </c>
      <c r="J662" s="62">
        <v>5.7401039999999997</v>
      </c>
      <c r="K662" s="62">
        <v>69.779110000000003</v>
      </c>
      <c r="L662" s="80">
        <v>4.9000000000001265E-3</v>
      </c>
      <c r="M662" s="91">
        <f ca="1">MAX(0,-1+ROUND((1+L661)/ROUND(OFFSET(A662,0,FORMULÁRIO!$E$10-1)/OFFSET(A661,0,FORMULÁRIO!$E$10-1),4),8))</f>
        <v>7.4185499999999127E-3</v>
      </c>
      <c r="N662" s="46"/>
    </row>
    <row r="663" spans="1:14" x14ac:dyDescent="0.25">
      <c r="A663" s="59">
        <v>43466</v>
      </c>
      <c r="B663" s="62"/>
      <c r="C663" s="45"/>
      <c r="D663" s="46">
        <v>26.53</v>
      </c>
      <c r="E663" s="78">
        <v>4.9000000000001265E-3</v>
      </c>
      <c r="F663" s="57">
        <f>TabelaCalculo[[#This Row],[SELIC]]+F662</f>
        <v>3.7303000000000002</v>
      </c>
      <c r="G663" s="69">
        <f ca="1">IF(L662="","",G662+TabelaCalculo[[#This Row],[BACEN-SÉRIE 29543]])</f>
        <v>2.1641074399999995</v>
      </c>
      <c r="H663" s="46">
        <v>2.87</v>
      </c>
      <c r="I663" s="62">
        <v>69.876800000000003</v>
      </c>
      <c r="J663" s="62">
        <v>5.7309190000000001</v>
      </c>
      <c r="K663" s="62">
        <v>69.876800000000003</v>
      </c>
      <c r="L663" s="80">
        <v>5.3999999999998494E-3</v>
      </c>
      <c r="M663" s="91">
        <f ca="1">MAX(0,-1+ROUND((1+L662)/ROUND(OFFSET(A663,0,FORMULÁRIO!$E$10-1)/OFFSET(A662,0,FORMULÁRIO!$E$10-1),4),8))</f>
        <v>3.4951100000000235E-3</v>
      </c>
      <c r="N663" s="46"/>
    </row>
    <row r="664" spans="1:14" x14ac:dyDescent="0.25">
      <c r="A664" s="59">
        <v>43497</v>
      </c>
      <c r="B664" s="62"/>
      <c r="C664" s="45"/>
      <c r="D664" s="46">
        <v>26.53</v>
      </c>
      <c r="E664" s="78">
        <v>5.3999999999998494E-3</v>
      </c>
      <c r="F664" s="57">
        <f>TabelaCalculo[[#This Row],[SELIC]]+F663</f>
        <v>3.7357</v>
      </c>
      <c r="G664" s="69">
        <f ca="1">IF(L663="","",G663+TabelaCalculo[[#This Row],[BACEN-SÉRIE 29543]])</f>
        <v>2.1659009799999995</v>
      </c>
      <c r="H664" s="46">
        <v>2.88</v>
      </c>
      <c r="I664" s="62">
        <v>70.128355999999997</v>
      </c>
      <c r="J664" s="62">
        <v>5.7481109999999997</v>
      </c>
      <c r="K664" s="62">
        <v>70.128355999999997</v>
      </c>
      <c r="L664" s="80">
        <v>4.8999999999999998E-3</v>
      </c>
      <c r="M664" s="91">
        <f ca="1">MAX(0,-1+ROUND((1+L663)/ROUND(OFFSET(A664,0,FORMULÁRIO!$E$10-1)/OFFSET(A663,0,FORMULÁRIO!$E$10-1),4),8))</f>
        <v>1.7935399999999824E-3</v>
      </c>
      <c r="N664" s="46"/>
    </row>
    <row r="665" spans="1:14" x14ac:dyDescent="0.25">
      <c r="A665" s="59">
        <v>43525</v>
      </c>
      <c r="B665" s="62"/>
      <c r="C665" s="45"/>
      <c r="D665" s="46">
        <v>26.53</v>
      </c>
      <c r="E665" s="78">
        <v>4.8999999999999998E-3</v>
      </c>
      <c r="F665" s="57">
        <f>TabelaCalculo[[#This Row],[SELIC]]+F664</f>
        <v>3.7406000000000001</v>
      </c>
      <c r="G665" s="69">
        <f ca="1">IF(L664="","",G664+TabelaCalculo[[#This Row],[BACEN-SÉRIE 29543]])</f>
        <v>2.1659009799999995</v>
      </c>
      <c r="H665" s="46">
        <v>2.89</v>
      </c>
      <c r="I665" s="62">
        <v>70.507048999999995</v>
      </c>
      <c r="J665" s="62">
        <v>5.7676540000000003</v>
      </c>
      <c r="K665" s="62">
        <v>70.507048999999995</v>
      </c>
      <c r="L665" s="80">
        <v>4.7000000000000002E-3</v>
      </c>
      <c r="M665" s="91">
        <f ca="1">MAX(0,-1+ROUND((1+L664)/ROUND(OFFSET(A665,0,FORMULÁRIO!$E$10-1)/OFFSET(A664,0,FORMULÁRIO!$E$10-1),4),8))</f>
        <v>0</v>
      </c>
      <c r="N665" s="46"/>
    </row>
    <row r="666" spans="1:14" x14ac:dyDescent="0.25">
      <c r="A666" s="59">
        <v>43556</v>
      </c>
      <c r="B666" s="62"/>
      <c r="C666" s="45"/>
      <c r="D666" s="46">
        <v>26.53</v>
      </c>
      <c r="E666" s="78">
        <v>4.7000000000000002E-3</v>
      </c>
      <c r="F666" s="57">
        <f>TabelaCalculo[[#This Row],[SELIC]]+F665</f>
        <v>3.7453000000000003</v>
      </c>
      <c r="G666" s="69">
        <f ca="1">IF(L665="","",G665+TabelaCalculo[[#This Row],[BACEN-SÉRIE 29543]])</f>
        <v>2.1659009799999995</v>
      </c>
      <c r="H666" s="46">
        <v>2.9</v>
      </c>
      <c r="I666" s="62">
        <v>71.049953000000002</v>
      </c>
      <c r="J666" s="62">
        <v>5.7987989999999998</v>
      </c>
      <c r="K666" s="62">
        <v>71.049953000000002</v>
      </c>
      <c r="L666" s="80">
        <v>5.1999999999999998E-3</v>
      </c>
      <c r="M666" s="91">
        <f ca="1">MAX(0,-1+ROUND((1+L665)/ROUND(OFFSET(A666,0,FORMULÁRIO!$E$10-1)/OFFSET(A665,0,FORMULÁRIO!$E$10-1),4),8))</f>
        <v>0</v>
      </c>
      <c r="N666" s="46"/>
    </row>
    <row r="667" spans="1:14" x14ac:dyDescent="0.25">
      <c r="A667" s="59">
        <v>43586</v>
      </c>
      <c r="B667" s="62"/>
      <c r="C667" s="45"/>
      <c r="D667" s="46">
        <v>26.53</v>
      </c>
      <c r="E667" s="78">
        <v>5.1999999999999998E-3</v>
      </c>
      <c r="F667" s="57">
        <f>TabelaCalculo[[#This Row],[SELIC]]+F666</f>
        <v>3.7505000000000002</v>
      </c>
      <c r="G667" s="69">
        <f ca="1">IF(L666="","",G666+TabelaCalculo[[#This Row],[BACEN-SÉRIE 29543]])</f>
        <v>2.1659009799999995</v>
      </c>
      <c r="H667" s="46">
        <v>2.91</v>
      </c>
      <c r="I667" s="62">
        <v>71.476252000000002</v>
      </c>
      <c r="J667" s="62">
        <v>5.8405500000000004</v>
      </c>
      <c r="K667" s="62">
        <v>71.476252000000002</v>
      </c>
      <c r="L667" s="80">
        <v>5.4000000000000003E-3</v>
      </c>
      <c r="M667" s="91">
        <f ca="1">MAX(0,-1+ROUND((1+L666)/ROUND(OFFSET(A667,0,FORMULÁRIO!$E$10-1)/OFFSET(A666,0,FORMULÁRIO!$E$10-1),4),8))</f>
        <v>0</v>
      </c>
      <c r="N667" s="46"/>
    </row>
    <row r="668" spans="1:14" x14ac:dyDescent="0.25">
      <c r="A668" s="59">
        <v>43617</v>
      </c>
      <c r="B668" s="62"/>
      <c r="C668" s="45"/>
      <c r="D668" s="46">
        <v>26.53</v>
      </c>
      <c r="E668" s="78">
        <v>5.4000000000000003E-3</v>
      </c>
      <c r="F668" s="57">
        <f>TabelaCalculo[[#This Row],[SELIC]]+F667</f>
        <v>3.7559</v>
      </c>
      <c r="G668" s="69">
        <f ca="1">IF(L667="","",G667+TabelaCalculo[[#This Row],[BACEN-SÉRIE 29543]])</f>
        <v>2.1697951399999997</v>
      </c>
      <c r="H668" s="46">
        <v>2.92</v>
      </c>
      <c r="I668" s="62">
        <v>71.583466000000001</v>
      </c>
      <c r="J668" s="62">
        <v>5.8609910000000003</v>
      </c>
      <c r="K668" s="62">
        <v>71.583466000000001</v>
      </c>
      <c r="L668" s="80">
        <v>4.7000000000000002E-3</v>
      </c>
      <c r="M668" s="91">
        <f ca="1">MAX(0,-1+ROUND((1+L667)/ROUND(OFFSET(A668,0,FORMULÁRIO!$E$10-1)/OFFSET(A667,0,FORMULÁRIO!$E$10-1),4),8))</f>
        <v>3.8941599999999799E-3</v>
      </c>
      <c r="N668" s="46"/>
    </row>
    <row r="669" spans="1:14" x14ac:dyDescent="0.25">
      <c r="A669" s="59">
        <v>43647</v>
      </c>
      <c r="B669" s="62"/>
      <c r="C669" s="45"/>
      <c r="D669" s="46">
        <v>26.53</v>
      </c>
      <c r="E669" s="78">
        <v>4.7000000000000002E-3</v>
      </c>
      <c r="F669" s="57">
        <f>TabelaCalculo[[#This Row],[SELIC]]+F668</f>
        <v>3.7606000000000002</v>
      </c>
      <c r="G669" s="69">
        <f ca="1">IF(L668="","",G668+TabelaCalculo[[#This Row],[BACEN-SÉRIE 29543]])</f>
        <v>2.1743946799999998</v>
      </c>
      <c r="H669" s="46">
        <v>2.93</v>
      </c>
      <c r="I669" s="62">
        <v>71.590624000000005</v>
      </c>
      <c r="J669" s="62">
        <v>5.8645069999999997</v>
      </c>
      <c r="K669" s="62">
        <v>71.590624000000005</v>
      </c>
      <c r="L669" s="80">
        <v>5.7000000000000002E-3</v>
      </c>
      <c r="M669" s="91">
        <f ca="1">MAX(0,-1+ROUND((1+L668)/ROUND(OFFSET(A669,0,FORMULÁRIO!$E$10-1)/OFFSET(A668,0,FORMULÁRIO!$E$10-1),4),8))</f>
        <v>4.5995400000000686E-3</v>
      </c>
      <c r="N669" s="46"/>
    </row>
    <row r="670" spans="1:14" x14ac:dyDescent="0.25">
      <c r="A670" s="59">
        <v>43678</v>
      </c>
      <c r="B670" s="62"/>
      <c r="C670" s="45"/>
      <c r="D670" s="46">
        <v>26.53</v>
      </c>
      <c r="E670" s="78">
        <v>5.7000000000000002E-3</v>
      </c>
      <c r="F670" s="57">
        <f>TabelaCalculo[[#This Row],[SELIC]]+F669</f>
        <v>3.7663000000000002</v>
      </c>
      <c r="G670" s="69">
        <f ca="1">IF(L669="","",G669+TabelaCalculo[[#This Row],[BACEN-SÉRIE 29543]])</f>
        <v>2.1790899799999996</v>
      </c>
      <c r="H670" s="46">
        <v>2.94</v>
      </c>
      <c r="I670" s="62">
        <v>71.662214000000006</v>
      </c>
      <c r="J670" s="62">
        <v>5.8697850000000003</v>
      </c>
      <c r="K670" s="62">
        <v>71.662214000000006</v>
      </c>
      <c r="L670" s="80">
        <v>5.0000000000000001E-3</v>
      </c>
      <c r="M670" s="91">
        <f ca="1">MAX(0,-1+ROUND((1+L669)/ROUND(OFFSET(A670,0,FORMULÁRIO!$E$10-1)/OFFSET(A669,0,FORMULÁRIO!$E$10-1),4),8))</f>
        <v>4.6953000000000689E-3</v>
      </c>
      <c r="N670" s="46"/>
    </row>
    <row r="671" spans="1:14" x14ac:dyDescent="0.25">
      <c r="A671" s="59">
        <v>43709</v>
      </c>
      <c r="B671" s="62"/>
      <c r="C671" s="45"/>
      <c r="D671" s="46">
        <v>26.53</v>
      </c>
      <c r="E671" s="78">
        <v>5.0000000000000001E-3</v>
      </c>
      <c r="F671" s="57">
        <f>TabelaCalculo[[#This Row],[SELIC]]+F670</f>
        <v>3.7713000000000001</v>
      </c>
      <c r="G671" s="69">
        <f ca="1">IF(L670="","",G670+TabelaCalculo[[#This Row],[BACEN-SÉRIE 29543]])</f>
        <v>2.1828854299999998</v>
      </c>
      <c r="H671" s="46">
        <v>2.95</v>
      </c>
      <c r="I671" s="62">
        <v>71.748208000000005</v>
      </c>
      <c r="J671" s="62">
        <v>5.8744800000000001</v>
      </c>
      <c r="K671" s="62">
        <v>71.748208000000005</v>
      </c>
      <c r="L671" s="80">
        <v>4.5999999999999999E-3</v>
      </c>
      <c r="M671" s="91">
        <f ca="1">MAX(0,-1+ROUND((1+L670)/ROUND(OFFSET(A671,0,FORMULÁRIO!$E$10-1)/OFFSET(A670,0,FORMULÁRIO!$E$10-1),4),8))</f>
        <v>3.7954499999999225E-3</v>
      </c>
      <c r="N671" s="46"/>
    </row>
    <row r="672" spans="1:14" x14ac:dyDescent="0.25">
      <c r="A672" s="59">
        <v>43739</v>
      </c>
      <c r="B672" s="62"/>
      <c r="C672" s="45"/>
      <c r="D672" s="46">
        <v>26.53</v>
      </c>
      <c r="E672" s="78">
        <v>4.5999999999999999E-3</v>
      </c>
      <c r="F672" s="57">
        <f>TabelaCalculo[[#This Row],[SELIC]]+F671</f>
        <v>3.7759</v>
      </c>
      <c r="G672" s="69">
        <f ca="1">IF(L671="","",G671+TabelaCalculo[[#This Row],[BACEN-SÉRIE 29543]])</f>
        <v>2.1879879799999999</v>
      </c>
      <c r="H672" s="46">
        <v>2.96</v>
      </c>
      <c r="I672" s="62">
        <v>71.712333000000001</v>
      </c>
      <c r="J672" s="62">
        <v>5.8797670000000002</v>
      </c>
      <c r="K672" s="62">
        <v>71.712333000000001</v>
      </c>
      <c r="L672" s="80">
        <v>4.7999999999999996E-3</v>
      </c>
      <c r="M672" s="91">
        <f ca="1">MAX(0,-1+ROUND((1+L671)/ROUND(OFFSET(A672,0,FORMULÁRIO!$E$10-1)/OFFSET(A671,0,FORMULÁRIO!$E$10-1),4),8))</f>
        <v>5.102549999999928E-3</v>
      </c>
      <c r="N672" s="46"/>
    </row>
    <row r="673" spans="1:14" x14ac:dyDescent="0.25">
      <c r="A673" s="59">
        <v>43770</v>
      </c>
      <c r="B673" s="62"/>
      <c r="C673" s="45"/>
      <c r="D673" s="46">
        <v>26.53</v>
      </c>
      <c r="E673" s="78">
        <v>4.7999999999999996E-3</v>
      </c>
      <c r="F673" s="57">
        <f>TabelaCalculo[[#This Row],[SELIC]]+F672</f>
        <v>3.7806999999999999</v>
      </c>
      <c r="G673" s="69">
        <f ca="1">IF(L672="","",G672+TabelaCalculo[[#This Row],[BACEN-SÉRIE 29543]])</f>
        <v>2.1923862199999999</v>
      </c>
      <c r="H673" s="46">
        <v>2.97</v>
      </c>
      <c r="I673" s="62">
        <v>71.741016999999999</v>
      </c>
      <c r="J673" s="62">
        <v>5.8850579999999999</v>
      </c>
      <c r="K673" s="62">
        <v>71.741016999999999</v>
      </c>
      <c r="L673" s="80">
        <v>3.8E-3</v>
      </c>
      <c r="M673" s="91">
        <f ca="1">MAX(0,-1+ROUND((1+L672)/ROUND(OFFSET(A673,0,FORMULÁRIO!$E$10-1)/OFFSET(A672,0,FORMULÁRIO!$E$10-1),4),8))</f>
        <v>4.3982399999999977E-3</v>
      </c>
      <c r="N673" s="46"/>
    </row>
    <row r="674" spans="1:14" x14ac:dyDescent="0.25">
      <c r="A674" s="59">
        <v>43800</v>
      </c>
      <c r="B674" s="62"/>
      <c r="C674" s="45"/>
      <c r="D674" s="46">
        <v>26.53</v>
      </c>
      <c r="E674" s="78">
        <v>3.8E-3</v>
      </c>
      <c r="F674" s="57">
        <f>TabelaCalculo[[#This Row],[SELIC]]+F673</f>
        <v>3.7845</v>
      </c>
      <c r="G674" s="69">
        <f ca="1">IF(L673="","",G673+TabelaCalculo[[#This Row],[BACEN-SÉRIE 29543]])</f>
        <v>2.1923862199999999</v>
      </c>
      <c r="H674" s="46">
        <v>2.98</v>
      </c>
      <c r="I674" s="62">
        <v>72.128417999999996</v>
      </c>
      <c r="J674" s="62">
        <v>5.8932969999999996</v>
      </c>
      <c r="K674" s="62">
        <v>72.128417999999996</v>
      </c>
      <c r="L674" s="80">
        <v>3.7000000000000002E-3</v>
      </c>
      <c r="M674" s="91">
        <f ca="1">MAX(0,-1+ROUND((1+L673)/ROUND(OFFSET(A674,0,FORMULÁRIO!$E$10-1)/OFFSET(A673,0,FORMULÁRIO!$E$10-1),4),8))</f>
        <v>0</v>
      </c>
      <c r="N674" s="46"/>
    </row>
    <row r="675" spans="1:14" x14ac:dyDescent="0.25">
      <c r="A675" s="59">
        <v>43831</v>
      </c>
      <c r="B675" s="62"/>
      <c r="C675" s="45"/>
      <c r="D675" s="46">
        <v>27.61</v>
      </c>
      <c r="E675" s="78">
        <v>3.7000000000000002E-3</v>
      </c>
      <c r="F675" s="57">
        <f>TabelaCalculo[[#This Row],[SELIC]]+F674</f>
        <v>3.7881999999999998</v>
      </c>
      <c r="G675" s="69">
        <f ca="1">IF(L674="","",G674+TabelaCalculo[[#This Row],[BACEN-SÉRIE 29543]])</f>
        <v>2.1923862199999999</v>
      </c>
      <c r="H675" s="46">
        <v>2.99</v>
      </c>
      <c r="I675" s="62">
        <v>73.008384000000007</v>
      </c>
      <c r="J675" s="62">
        <v>5.9551759999999998</v>
      </c>
      <c r="K675" s="62">
        <v>73.008384000000007</v>
      </c>
      <c r="L675" s="80">
        <v>3.8E-3</v>
      </c>
      <c r="M675" s="91">
        <f ca="1">MAX(0,-1+ROUND((1+L674)/ROUND(OFFSET(A675,0,FORMULÁRIO!$E$10-1)/OFFSET(A674,0,FORMULÁRIO!$E$10-1),4),8))</f>
        <v>0</v>
      </c>
      <c r="N675" s="46"/>
    </row>
    <row r="676" spans="1:14" x14ac:dyDescent="0.25">
      <c r="A676" s="59">
        <v>43862</v>
      </c>
      <c r="B676" s="62"/>
      <c r="C676" s="45"/>
      <c r="D676" s="46">
        <v>27.61</v>
      </c>
      <c r="E676" s="78">
        <v>3.8E-3</v>
      </c>
      <c r="F676" s="57">
        <f>TabelaCalculo[[#This Row],[SELIC]]+F675</f>
        <v>3.7919999999999998</v>
      </c>
      <c r="G676" s="69">
        <f ca="1">IF(L675="","",G675+TabelaCalculo[[#This Row],[BACEN-SÉRIE 29543]])</f>
        <v>2.1942826200000001</v>
      </c>
      <c r="H676" s="46">
        <v>3</v>
      </c>
      <c r="I676" s="62">
        <v>73.147098999999997</v>
      </c>
      <c r="J676" s="62">
        <v>5.9974569999999998</v>
      </c>
      <c r="K676" s="62">
        <v>73.147098999999997</v>
      </c>
      <c r="L676" s="80">
        <v>2.8999999999999998E-3</v>
      </c>
      <c r="M676" s="91">
        <f ca="1">MAX(0,-1+ROUND((1+L675)/ROUND(OFFSET(A676,0,FORMULÁRIO!$E$10-1)/OFFSET(A675,0,FORMULÁRIO!$E$10-1),4),8))</f>
        <v>1.8963999999999093E-3</v>
      </c>
      <c r="N676" s="46"/>
    </row>
    <row r="677" spans="1:14" x14ac:dyDescent="0.25">
      <c r="A677" s="59">
        <v>43891</v>
      </c>
      <c r="B677" s="62"/>
      <c r="C677" s="45"/>
      <c r="D677" s="46">
        <v>27.61</v>
      </c>
      <c r="E677" s="78">
        <v>2.8999999999999998E-3</v>
      </c>
      <c r="F677" s="57">
        <f>TabelaCalculo[[#This Row],[SELIC]]+F676</f>
        <v>3.7948999999999997</v>
      </c>
      <c r="G677" s="69">
        <f ca="1">IF(L676="","",G676+TabelaCalculo[[#This Row],[BACEN-SÉRIE 29543]])</f>
        <v>2.1954805799999999</v>
      </c>
      <c r="H677" s="46">
        <v>3.01</v>
      </c>
      <c r="I677" s="62">
        <v>73.271449000000004</v>
      </c>
      <c r="J677" s="62">
        <v>6.0106510000000002</v>
      </c>
      <c r="K677" s="62">
        <v>73.271449000000004</v>
      </c>
      <c r="L677" s="80">
        <v>3.3999999999999998E-3</v>
      </c>
      <c r="M677" s="91">
        <f ca="1">MAX(0,-1+ROUND((1+L676)/ROUND(OFFSET(A677,0,FORMULÁRIO!$E$10-1)/OFFSET(A676,0,FORMULÁRIO!$E$10-1),4),8))</f>
        <v>1.1979600000000534E-3</v>
      </c>
      <c r="N677" s="46"/>
    </row>
    <row r="678" spans="1:14" x14ac:dyDescent="0.25">
      <c r="A678" s="59">
        <v>43922</v>
      </c>
      <c r="B678" s="62"/>
      <c r="C678" s="45"/>
      <c r="D678" s="46">
        <v>27.61</v>
      </c>
      <c r="E678" s="78">
        <v>3.3999999999999998E-3</v>
      </c>
      <c r="F678" s="57">
        <f>TabelaCalculo[[#This Row],[SELIC]]+F677</f>
        <v>3.7982999999999998</v>
      </c>
      <c r="G678" s="69">
        <f ca="1">IF(L677="","",G677+TabelaCalculo[[#This Row],[BACEN-SÉRIE 29543]])</f>
        <v>2.1970777099999999</v>
      </c>
      <c r="H678" s="46">
        <v>3.02</v>
      </c>
      <c r="I678" s="62">
        <v>73.403336999999993</v>
      </c>
      <c r="J678" s="62">
        <v>6.0118530000000003</v>
      </c>
      <c r="K678" s="62">
        <v>73.403336999999993</v>
      </c>
      <c r="L678" s="80">
        <v>2.8E-3</v>
      </c>
      <c r="M678" s="91">
        <f ca="1">MAX(0,-1+ROUND((1+L677)/ROUND(OFFSET(A678,0,FORMULÁRIO!$E$10-1)/OFFSET(A677,0,FORMULÁRIO!$E$10-1),4),8))</f>
        <v>1.5971299999999466E-3</v>
      </c>
      <c r="N678" s="46"/>
    </row>
    <row r="679" spans="1:14" x14ac:dyDescent="0.25">
      <c r="A679" s="59">
        <v>43952</v>
      </c>
      <c r="B679" s="62"/>
      <c r="C679" s="45"/>
      <c r="D679" s="46">
        <v>27.61</v>
      </c>
      <c r="E679" s="78">
        <v>2.7999999999999995E-3</v>
      </c>
      <c r="F679" s="57">
        <f>TabelaCalculo[[#This Row],[SELIC]]+F678</f>
        <v>3.8010999999999999</v>
      </c>
      <c r="G679" s="69">
        <f ca="1">IF(L678="","",G678+TabelaCalculo[[#This Row],[BACEN-SÉRIE 29543]])</f>
        <v>2.2021894699999995</v>
      </c>
      <c r="H679" s="46">
        <v>3.03</v>
      </c>
      <c r="I679" s="62">
        <v>73.234509000000003</v>
      </c>
      <c r="J679" s="62">
        <v>6.0112509999999997</v>
      </c>
      <c r="K679" s="62">
        <v>73.234509000000003</v>
      </c>
      <c r="L679" s="80">
        <v>2.3999999999999998E-3</v>
      </c>
      <c r="M679" s="91">
        <f ca="1">MAX(0,-1+ROUND((1+L678)/ROUND(OFFSET(A679,0,FORMULÁRIO!$E$10-1)/OFFSET(A678,0,FORMULÁRIO!$E$10-1),4),8))</f>
        <v>5.1117599999999097E-3</v>
      </c>
      <c r="N679" s="46"/>
    </row>
    <row r="680" spans="1:14" x14ac:dyDescent="0.25">
      <c r="A680" s="59">
        <v>43983</v>
      </c>
      <c r="B680" s="62"/>
      <c r="C680" s="45"/>
      <c r="D680" s="46">
        <v>27.61</v>
      </c>
      <c r="E680" s="78">
        <v>2.3999999999999998E-3</v>
      </c>
      <c r="F680" s="57">
        <f>TabelaCalculo[[#This Row],[SELIC]]+F679</f>
        <v>3.8035000000000001</v>
      </c>
      <c r="G680" s="69">
        <f ca="1">IF(L679="","",G679+TabelaCalculo[[#This Row],[BACEN-SÉRIE 29543]])</f>
        <v>2.2071017499999996</v>
      </c>
      <c r="H680" s="46">
        <v>3.04</v>
      </c>
      <c r="I680" s="62">
        <v>73.051422000000002</v>
      </c>
      <c r="J680" s="62">
        <v>5.975784</v>
      </c>
      <c r="K680" s="62">
        <v>73.051422000000002</v>
      </c>
      <c r="L680" s="80">
        <v>2.0999999999999999E-3</v>
      </c>
      <c r="M680" s="91">
        <f ca="1">MAX(0,-1+ROUND((1+L679)/ROUND(OFFSET(A680,0,FORMULÁRIO!$E$10-1)/OFFSET(A679,0,FORMULÁRIO!$E$10-1),4),8))</f>
        <v>4.9122800000001021E-3</v>
      </c>
      <c r="N680" s="46"/>
    </row>
    <row r="681" spans="1:14" x14ac:dyDescent="0.25">
      <c r="A681" s="59">
        <v>44013</v>
      </c>
      <c r="B681" s="62"/>
      <c r="C681" s="45"/>
      <c r="D681" s="46">
        <v>27.61</v>
      </c>
      <c r="E681" s="78">
        <v>2.0999999999999999E-3</v>
      </c>
      <c r="F681" s="57">
        <f>TabelaCalculo[[#This Row],[SELIC]]+F680</f>
        <v>3.8056000000000001</v>
      </c>
      <c r="G681" s="69">
        <f ca="1">IF(L680="","",G680+TabelaCalculo[[#This Row],[BACEN-SÉRIE 29543]])</f>
        <v>2.2071017499999996</v>
      </c>
      <c r="H681" s="46">
        <v>3.05</v>
      </c>
      <c r="I681" s="62">
        <v>73.270576000000005</v>
      </c>
      <c r="J681" s="62">
        <v>5.976979</v>
      </c>
      <c r="K681" s="62">
        <v>73.270576000000005</v>
      </c>
      <c r="L681" s="80">
        <v>1.9E-3</v>
      </c>
      <c r="M681" s="91">
        <f ca="1">MAX(0,-1+ROUND((1+L680)/ROUND(OFFSET(A681,0,FORMULÁRIO!$E$10-1)/OFFSET(A680,0,FORMULÁRIO!$E$10-1),4),8))</f>
        <v>0</v>
      </c>
      <c r="N681" s="46"/>
    </row>
    <row r="682" spans="1:14" x14ac:dyDescent="0.25">
      <c r="A682" s="59">
        <v>44044</v>
      </c>
      <c r="B682" s="62"/>
      <c r="C682" s="45"/>
      <c r="D682" s="46">
        <v>27.61</v>
      </c>
      <c r="E682" s="78">
        <v>1.9E-3</v>
      </c>
      <c r="F682" s="57">
        <f>TabelaCalculo[[#This Row],[SELIC]]+F681</f>
        <v>3.8075000000000001</v>
      </c>
      <c r="G682" s="69">
        <f ca="1">IF(L681="","",G681+TabelaCalculo[[#This Row],[BACEN-SÉRIE 29543]])</f>
        <v>2.2071017499999996</v>
      </c>
      <c r="H682" s="46">
        <v>3.06</v>
      </c>
      <c r="I682" s="62">
        <v>73.592966000000004</v>
      </c>
      <c r="J682" s="62">
        <v>5.9949089999999998</v>
      </c>
      <c r="K682" s="62">
        <v>73.592966000000004</v>
      </c>
      <c r="L682" s="80">
        <v>1.6000000000000001E-3</v>
      </c>
      <c r="M682" s="91">
        <f ca="1">MAX(0,-1+ROUND((1+L681)/ROUND(OFFSET(A682,0,FORMULÁRIO!$E$10-1)/OFFSET(A681,0,FORMULÁRIO!$E$10-1),4),8))</f>
        <v>0</v>
      </c>
      <c r="N682" s="46"/>
    </row>
    <row r="683" spans="1:14" x14ac:dyDescent="0.25">
      <c r="A683" s="59">
        <v>44075</v>
      </c>
      <c r="B683" s="62"/>
      <c r="C683" s="45"/>
      <c r="D683" s="46">
        <v>27.61</v>
      </c>
      <c r="E683" s="78">
        <v>1.6000000000000001E-3</v>
      </c>
      <c r="F683" s="57">
        <f>TabelaCalculo[[#This Row],[SELIC]]+F682</f>
        <v>3.8090999999999999</v>
      </c>
      <c r="G683" s="69">
        <f ca="1">IF(L682="","",G682+TabelaCalculo[[#This Row],[BACEN-SÉRIE 29543]])</f>
        <v>2.2071017499999996</v>
      </c>
      <c r="H683" s="46">
        <v>3.07</v>
      </c>
      <c r="I683" s="62">
        <v>73.857900000000001</v>
      </c>
      <c r="J683" s="62">
        <v>6.0086969999999997</v>
      </c>
      <c r="K683" s="62">
        <v>73.857900000000001</v>
      </c>
      <c r="L683" s="80">
        <v>1.6000000000000001E-3</v>
      </c>
      <c r="M683" s="91">
        <f ca="1">MAX(0,-1+ROUND((1+L682)/ROUND(OFFSET(A683,0,FORMULÁRIO!$E$10-1)/OFFSET(A682,0,FORMULÁRIO!$E$10-1),4),8))</f>
        <v>0</v>
      </c>
      <c r="N683" s="46"/>
    </row>
    <row r="684" spans="1:14" x14ac:dyDescent="0.25">
      <c r="A684" s="59">
        <v>44105</v>
      </c>
      <c r="B684" s="62"/>
      <c r="C684" s="45"/>
      <c r="D684" s="46">
        <v>27.61</v>
      </c>
      <c r="E684" s="78">
        <v>1.6000000000000001E-3</v>
      </c>
      <c r="F684" s="57">
        <f>TabelaCalculo[[#This Row],[SELIC]]+F683</f>
        <v>3.8106999999999998</v>
      </c>
      <c r="G684" s="69">
        <f ca="1">IF(L683="","",G683+TabelaCalculo[[#This Row],[BACEN-SÉRIE 29543]])</f>
        <v>2.2071017499999996</v>
      </c>
      <c r="H684" s="46">
        <v>3.08</v>
      </c>
      <c r="I684" s="62">
        <v>74.500462999999996</v>
      </c>
      <c r="J684" s="62">
        <v>6.035736</v>
      </c>
      <c r="K684" s="62">
        <v>74.500462999999996</v>
      </c>
      <c r="L684" s="80">
        <v>1.6000000000000001E-3</v>
      </c>
      <c r="M684" s="91">
        <f ca="1">MAX(0,-1+ROUND((1+L683)/ROUND(OFFSET(A684,0,FORMULÁRIO!$E$10-1)/OFFSET(A683,0,FORMULÁRIO!$E$10-1),4),8))</f>
        <v>0</v>
      </c>
      <c r="N684" s="46"/>
    </row>
    <row r="685" spans="1:14" x14ac:dyDescent="0.25">
      <c r="A685" s="59">
        <v>44136</v>
      </c>
      <c r="B685" s="62"/>
      <c r="C685" s="45"/>
      <c r="D685" s="46">
        <v>27.61</v>
      </c>
      <c r="E685" s="78">
        <v>1.6000000000000001E-3</v>
      </c>
      <c r="F685" s="57">
        <f>TabelaCalculo[[#This Row],[SELIC]]+F684</f>
        <v>3.8122999999999996</v>
      </c>
      <c r="G685" s="69">
        <f ca="1">IF(L684="","",G684+TabelaCalculo[[#This Row],[BACEN-SÉRIE 29543]])</f>
        <v>2.2071017499999996</v>
      </c>
      <c r="H685" s="46">
        <v>3.09</v>
      </c>
      <c r="I685" s="62">
        <v>75.163516999999999</v>
      </c>
      <c r="J685" s="62">
        <v>6.0924709999999997</v>
      </c>
      <c r="K685" s="62">
        <v>75.163516999999999</v>
      </c>
      <c r="L685" s="80">
        <v>1.5E-3</v>
      </c>
      <c r="M685" s="91">
        <f ca="1">MAX(0,-1+ROUND((1+L684)/ROUND(OFFSET(A685,0,FORMULÁRIO!$E$10-1)/OFFSET(A684,0,FORMULÁRIO!$E$10-1),4),8))</f>
        <v>0</v>
      </c>
      <c r="N685" s="46"/>
    </row>
    <row r="686" spans="1:14" x14ac:dyDescent="0.25">
      <c r="A686" s="59">
        <v>44166</v>
      </c>
      <c r="B686" s="62"/>
      <c r="C686" s="45"/>
      <c r="D686" s="46">
        <v>27.61</v>
      </c>
      <c r="E686" s="78">
        <v>1.5E-3</v>
      </c>
      <c r="F686" s="57">
        <f>TabelaCalculo[[#This Row],[SELIC]]+F685</f>
        <v>3.8137999999999996</v>
      </c>
      <c r="G686" s="69">
        <f ca="1">IF(L685="","",G685+TabelaCalculo[[#This Row],[BACEN-SÉRIE 29543]])</f>
        <v>2.2071017499999996</v>
      </c>
      <c r="H686" s="46">
        <v>3.1</v>
      </c>
      <c r="I686" s="62">
        <v>75.877570000000006</v>
      </c>
      <c r="J686" s="62">
        <v>6.1418200000000001</v>
      </c>
      <c r="K686" s="62">
        <v>75.877570000000006</v>
      </c>
      <c r="L686" s="80">
        <v>1.6000000000000001E-3</v>
      </c>
      <c r="M686" s="91">
        <f ca="1">MAX(0,-1+ROUND((1+L685)/ROUND(OFFSET(A686,0,FORMULÁRIO!$E$10-1)/OFFSET(A685,0,FORMULÁRIO!$E$10-1),4),8))</f>
        <v>0</v>
      </c>
      <c r="N686" s="46"/>
    </row>
    <row r="687" spans="1:14" x14ac:dyDescent="0.25">
      <c r="A687" s="59">
        <v>44197</v>
      </c>
      <c r="B687" s="62"/>
      <c r="C687" s="45"/>
      <c r="D687" s="46">
        <v>29.09</v>
      </c>
      <c r="E687" s="78">
        <v>1.6000000000000001E-3</v>
      </c>
      <c r="F687" s="57">
        <f>TabelaCalculo[[#This Row],[SELIC]]+F686</f>
        <v>3.8153999999999995</v>
      </c>
      <c r="G687" s="69">
        <f ca="1">IF(L686="","",G686+TabelaCalculo[[#This Row],[BACEN-SÉRIE 29543]])</f>
        <v>2.2071017499999996</v>
      </c>
      <c r="H687" s="46">
        <v>3.11</v>
      </c>
      <c r="I687" s="62">
        <v>76.985382000000001</v>
      </c>
      <c r="J687" s="62">
        <v>6.2069229999999997</v>
      </c>
      <c r="K687" s="62">
        <v>76.985382000000001</v>
      </c>
      <c r="L687" s="80">
        <v>1.5E-3</v>
      </c>
      <c r="M687" s="91">
        <f ca="1">MAX(0,-1+ROUND((1+L686)/ROUND(OFFSET(A687,0,FORMULÁRIO!$E$10-1)/OFFSET(A686,0,FORMULÁRIO!$E$10-1),4),8))</f>
        <v>0</v>
      </c>
      <c r="N687" s="46"/>
    </row>
    <row r="688" spans="1:14" x14ac:dyDescent="0.25">
      <c r="A688" s="59">
        <v>44228</v>
      </c>
      <c r="B688" s="62"/>
      <c r="C688" s="45"/>
      <c r="D688" s="46">
        <v>29.09</v>
      </c>
      <c r="E688" s="78">
        <v>1.5E-3</v>
      </c>
      <c r="F688" s="57">
        <f>TabelaCalculo[[#This Row],[SELIC]]+F687</f>
        <v>3.8168999999999995</v>
      </c>
      <c r="G688" s="69">
        <f ca="1">IF(L687="","",G687+TabelaCalculo[[#This Row],[BACEN-SÉRIE 29543]])</f>
        <v>2.2071017499999996</v>
      </c>
      <c r="H688" s="46">
        <v>3.12</v>
      </c>
      <c r="I688" s="62">
        <v>77.193241999999998</v>
      </c>
      <c r="J688" s="62">
        <v>6.2553359999999998</v>
      </c>
      <c r="K688" s="62">
        <v>77.193241999999998</v>
      </c>
      <c r="L688" s="80">
        <v>1.2999999999999999E-3</v>
      </c>
      <c r="M688" s="91">
        <f ca="1">MAX(0,-1+ROUND((1+L687)/ROUND(OFFSET(A688,0,FORMULÁRIO!$E$10-1)/OFFSET(A687,0,FORMULÁRIO!$E$10-1),4),8))</f>
        <v>0</v>
      </c>
      <c r="N688" s="46"/>
    </row>
    <row r="689" spans="1:14" x14ac:dyDescent="0.25">
      <c r="A689" s="59">
        <v>44256</v>
      </c>
      <c r="B689" s="62"/>
      <c r="C689" s="45"/>
      <c r="D689" s="46">
        <v>29.09</v>
      </c>
      <c r="E689" s="78">
        <v>1.2999999999999999E-3</v>
      </c>
      <c r="F689" s="57">
        <f>TabelaCalculo[[#This Row],[SELIC]]+F688</f>
        <v>3.8181999999999996</v>
      </c>
      <c r="G689" s="69">
        <f ca="1">IF(L688="","",G688+TabelaCalculo[[#This Row],[BACEN-SÉRIE 29543]])</f>
        <v>2.2071017499999996</v>
      </c>
      <c r="H689" s="46">
        <v>3.13</v>
      </c>
      <c r="I689" s="62">
        <v>77.826226000000005</v>
      </c>
      <c r="J689" s="62">
        <v>6.285361</v>
      </c>
      <c r="K689" s="62">
        <v>77.826226000000005</v>
      </c>
      <c r="L689" s="80">
        <v>2E-3</v>
      </c>
      <c r="M689" s="91">
        <f ca="1">MAX(0,-1+ROUND((1+L688)/ROUND(OFFSET(A689,0,FORMULÁRIO!$E$10-1)/OFFSET(A688,0,FORMULÁRIO!$E$10-1),4),8))</f>
        <v>0</v>
      </c>
      <c r="N689" s="46"/>
    </row>
    <row r="690" spans="1:14" x14ac:dyDescent="0.25">
      <c r="A690" s="59">
        <v>44287</v>
      </c>
      <c r="B690" s="62"/>
      <c r="C690" s="45"/>
      <c r="D690" s="46">
        <v>29.09</v>
      </c>
      <c r="E690" s="78">
        <v>2E-3</v>
      </c>
      <c r="F690" s="57">
        <f>TabelaCalculo[[#This Row],[SELIC]]+F689</f>
        <v>3.8201999999999994</v>
      </c>
      <c r="G690" s="69">
        <f ca="1">IF(L689="","",G689+TabelaCalculo[[#This Row],[BACEN-SÉRIE 29543]])</f>
        <v>2.2071017499999996</v>
      </c>
      <c r="H690" s="46">
        <v>3.14</v>
      </c>
      <c r="I690" s="62">
        <v>78.495531</v>
      </c>
      <c r="J690" s="62">
        <v>6.3438140000000001</v>
      </c>
      <c r="K690" s="62">
        <v>78.495531</v>
      </c>
      <c r="L690" s="80">
        <v>2.0999999999999999E-3</v>
      </c>
      <c r="M690" s="91">
        <f ca="1">MAX(0,-1+ROUND((1+L689)/ROUND(OFFSET(A690,0,FORMULÁRIO!$E$10-1)/OFFSET(A689,0,FORMULÁRIO!$E$10-1),4),8))</f>
        <v>0</v>
      </c>
      <c r="N690" s="46"/>
    </row>
    <row r="691" spans="1:14" x14ac:dyDescent="0.25">
      <c r="A691" s="59">
        <v>44317</v>
      </c>
      <c r="B691" s="62"/>
      <c r="C691" s="45"/>
      <c r="D691" s="46">
        <v>29.09</v>
      </c>
      <c r="E691" s="78">
        <v>2.0999999999999999E-3</v>
      </c>
      <c r="F691" s="57">
        <f>TabelaCalculo[[#This Row],[SELIC]]+F690</f>
        <v>3.8222999999999994</v>
      </c>
      <c r="G691" s="69">
        <f ca="1">IF(L690="","",G690+TabelaCalculo[[#This Row],[BACEN-SÉRIE 29543]])</f>
        <v>2.2071017499999996</v>
      </c>
      <c r="H691" s="46">
        <v>3.15</v>
      </c>
      <c r="I691" s="62">
        <v>78.793813999999998</v>
      </c>
      <c r="J691" s="62">
        <v>6.3818760000000001</v>
      </c>
      <c r="K691" s="62">
        <v>78.793813999999998</v>
      </c>
      <c r="L691" s="80">
        <v>2.7000000000000001E-3</v>
      </c>
      <c r="M691" s="91">
        <f ca="1">MAX(0,-1+ROUND((1+L690)/ROUND(OFFSET(A691,0,FORMULÁRIO!$E$10-1)/OFFSET(A690,0,FORMULÁRIO!$E$10-1),4),8))</f>
        <v>0</v>
      </c>
      <c r="N691" s="46"/>
    </row>
    <row r="692" spans="1:14" x14ac:dyDescent="0.25">
      <c r="A692" s="59">
        <v>44348</v>
      </c>
      <c r="B692" s="62"/>
      <c r="C692" s="45"/>
      <c r="D692" s="46">
        <v>29.09</v>
      </c>
      <c r="E692" s="78">
        <v>2.7000000000000001E-3</v>
      </c>
      <c r="F692" s="57">
        <f>TabelaCalculo[[#This Row],[SELIC]]+F691</f>
        <v>3.8249999999999993</v>
      </c>
      <c r="G692" s="69">
        <f ca="1">IF(L691="","",G691+TabelaCalculo[[#This Row],[BACEN-SÉRIE 29543]])</f>
        <v>2.2071017499999996</v>
      </c>
      <c r="H692" s="46">
        <v>3.16</v>
      </c>
      <c r="I692" s="62">
        <v>79.550234000000003</v>
      </c>
      <c r="J692" s="62">
        <v>6.4099560000000002</v>
      </c>
      <c r="K692" s="62">
        <v>79.550234000000003</v>
      </c>
      <c r="L692" s="80">
        <v>3.0999999999999999E-3</v>
      </c>
      <c r="M692" s="91">
        <f ca="1">MAX(0,-1+ROUND((1+L691)/ROUND(OFFSET(A692,0,FORMULÁRIO!$E$10-1)/OFFSET(A691,0,FORMULÁRIO!$E$10-1),4),8))</f>
        <v>0</v>
      </c>
      <c r="N692" s="46"/>
    </row>
    <row r="693" spans="1:14" x14ac:dyDescent="0.25">
      <c r="A693" s="59">
        <v>44378</v>
      </c>
      <c r="B693" s="62"/>
      <c r="C693" s="45"/>
      <c r="D693" s="46">
        <v>29.09</v>
      </c>
      <c r="E693" s="78">
        <v>3.0999999999999999E-3</v>
      </c>
      <c r="F693" s="57">
        <f>TabelaCalculo[[#This Row],[SELIC]]+F692</f>
        <v>3.8280999999999992</v>
      </c>
      <c r="G693" s="69">
        <f ca="1">IF(L692="","",G692+TabelaCalculo[[#This Row],[BACEN-SÉRIE 29543]])</f>
        <v>2.2071017499999996</v>
      </c>
      <c r="H693" s="46">
        <v>3.17</v>
      </c>
      <c r="I693" s="62">
        <v>80.027535</v>
      </c>
      <c r="J693" s="62">
        <v>6.463158</v>
      </c>
      <c r="K693" s="62">
        <v>80.027535</v>
      </c>
      <c r="L693" s="80">
        <v>3.5999999999999999E-3</v>
      </c>
      <c r="M693" s="91">
        <f ca="1">MAX(0,-1+ROUND((1+L692)/ROUND(OFFSET(A693,0,FORMULÁRIO!$E$10-1)/OFFSET(A692,0,FORMULÁRIO!$E$10-1),4),8))</f>
        <v>0</v>
      </c>
      <c r="N693" s="46"/>
    </row>
    <row r="694" spans="1:14" x14ac:dyDescent="0.25">
      <c r="A694" s="59">
        <v>44409</v>
      </c>
      <c r="B694" s="62"/>
      <c r="C694" s="45"/>
      <c r="D694" s="46">
        <v>29.09</v>
      </c>
      <c r="E694" s="78">
        <v>3.5999999999999999E-3</v>
      </c>
      <c r="F694" s="57">
        <f>TabelaCalculo[[#This Row],[SELIC]]+F693</f>
        <v>3.8316999999999992</v>
      </c>
      <c r="G694" s="69">
        <f ca="1">IF(L693="","",G693+TabelaCalculo[[#This Row],[BACEN-SÉRIE 29543]])</f>
        <v>2.2071017499999996</v>
      </c>
      <c r="H694" s="46">
        <v>3.18</v>
      </c>
      <c r="I694" s="62">
        <v>80.843815000000006</v>
      </c>
      <c r="J694" s="62">
        <v>6.5096920000000003</v>
      </c>
      <c r="K694" s="62">
        <v>80.843815000000006</v>
      </c>
      <c r="L694" s="80">
        <v>4.3E-3</v>
      </c>
      <c r="M694" s="91">
        <f ca="1">MAX(0,-1+ROUND((1+L693)/ROUND(OFFSET(A694,0,FORMULÁRIO!$E$10-1)/OFFSET(A693,0,FORMULÁRIO!$E$10-1),4),8))</f>
        <v>0</v>
      </c>
      <c r="N694" s="46"/>
    </row>
    <row r="695" spans="1:14" x14ac:dyDescent="0.25">
      <c r="A695" s="59">
        <v>44440</v>
      </c>
      <c r="B695" s="62"/>
      <c r="C695" s="45"/>
      <c r="D695" s="46">
        <v>29.09</v>
      </c>
      <c r="E695" s="78">
        <v>4.3E-3</v>
      </c>
      <c r="F695" s="57">
        <f>TabelaCalculo[[#This Row],[SELIC]]+F694</f>
        <v>3.8359999999999994</v>
      </c>
      <c r="G695" s="69">
        <f ca="1">IF(L694="","",G694+TabelaCalculo[[#This Row],[BACEN-SÉRIE 29543]])</f>
        <v>2.2071017499999996</v>
      </c>
      <c r="H695" s="46">
        <v>3.19</v>
      </c>
      <c r="I695" s="62">
        <v>81.555239999999998</v>
      </c>
      <c r="J695" s="62">
        <v>6.567628</v>
      </c>
      <c r="K695" s="62">
        <v>81.555239999999998</v>
      </c>
      <c r="L695" s="80">
        <v>4.4000000000000003E-3</v>
      </c>
      <c r="M695" s="91">
        <f ca="1">MAX(0,-1+ROUND((1+L694)/ROUND(OFFSET(A695,0,FORMULÁRIO!$E$10-1)/OFFSET(A694,0,FORMULÁRIO!$E$10-1),4),8))</f>
        <v>0</v>
      </c>
      <c r="N695" s="46"/>
    </row>
    <row r="696" spans="1:14" x14ac:dyDescent="0.25">
      <c r="A696" s="59">
        <v>44470</v>
      </c>
      <c r="B696" s="62"/>
      <c r="C696" s="45"/>
      <c r="D696" s="46">
        <v>29.09</v>
      </c>
      <c r="E696" s="78">
        <v>4.4000000000000003E-3</v>
      </c>
      <c r="F696" s="57">
        <f>TabelaCalculo[[#This Row],[SELIC]]+F695</f>
        <v>3.8403999999999994</v>
      </c>
      <c r="G696" s="69">
        <f ca="1">IF(L695="","",G695+TabelaCalculo[[#This Row],[BACEN-SÉRIE 29543]])</f>
        <v>2.2071017499999996</v>
      </c>
      <c r="H696" s="46">
        <v>3.2</v>
      </c>
      <c r="I696" s="62">
        <v>82.533901999999998</v>
      </c>
      <c r="J696" s="62">
        <v>6.6424979999999998</v>
      </c>
      <c r="K696" s="62">
        <v>82.533901999999998</v>
      </c>
      <c r="L696" s="80">
        <v>4.8999999999999998E-3</v>
      </c>
      <c r="M696" s="91">
        <f ca="1">MAX(0,-1+ROUND((1+L695)/ROUND(OFFSET(A696,0,FORMULÁRIO!$E$10-1)/OFFSET(A695,0,FORMULÁRIO!$E$10-1),4),8))</f>
        <v>0</v>
      </c>
      <c r="N696" s="46"/>
    </row>
    <row r="697" spans="1:14" x14ac:dyDescent="0.25">
      <c r="A697" s="59">
        <v>44501</v>
      </c>
      <c r="B697" s="62"/>
      <c r="C697" s="45"/>
      <c r="D697" s="46">
        <v>29.09</v>
      </c>
      <c r="E697" s="78">
        <v>4.8999999999999998E-3</v>
      </c>
      <c r="F697" s="57">
        <f>TabelaCalculo[[#This Row],[SELIC]]+F696</f>
        <v>3.8452999999999995</v>
      </c>
      <c r="G697" s="69">
        <f ca="1">IF(L696="","",G696+TabelaCalculo[[#This Row],[BACEN-SÉRIE 29543]])</f>
        <v>2.2071017499999996</v>
      </c>
      <c r="H697" s="46">
        <v>3.21</v>
      </c>
      <c r="I697" s="62">
        <v>83.491294999999994</v>
      </c>
      <c r="J697" s="62">
        <v>6.722207</v>
      </c>
      <c r="K697" s="62">
        <v>83.491294999999994</v>
      </c>
      <c r="L697" s="80">
        <v>5.8999999999999999E-3</v>
      </c>
      <c r="M697" s="91">
        <f ca="1">MAX(0,-1+ROUND((1+L696)/ROUND(OFFSET(A697,0,FORMULÁRIO!$E$10-1)/OFFSET(A696,0,FORMULÁRIO!$E$10-1),4),8))</f>
        <v>0</v>
      </c>
      <c r="N697" s="46"/>
    </row>
    <row r="698" spans="1:14" x14ac:dyDescent="0.25">
      <c r="A698" s="59">
        <v>44531</v>
      </c>
      <c r="B698" s="62"/>
      <c r="C698" s="45"/>
      <c r="D698" s="46">
        <v>29.09</v>
      </c>
      <c r="E698" s="78">
        <v>5.8999999999999999E-3</v>
      </c>
      <c r="F698" s="57">
        <f>TabelaCalculo[[#This Row],[SELIC]]+F697</f>
        <v>3.8511999999999995</v>
      </c>
      <c r="G698" s="69">
        <f ca="1">IF(L697="","",G697+TabelaCalculo[[#This Row],[BACEN-SÉRIE 29543]])</f>
        <v>2.2071017499999996</v>
      </c>
      <c r="H698" s="46">
        <v>3.22</v>
      </c>
      <c r="I698" s="62">
        <v>84.192621000000003</v>
      </c>
      <c r="J698" s="62">
        <v>6.8008559999999996</v>
      </c>
      <c r="K698" s="62">
        <v>84.192621000000003</v>
      </c>
      <c r="L698" s="80">
        <v>7.7000000000000002E-3</v>
      </c>
      <c r="M698" s="91">
        <f ca="1">MAX(0,-1+ROUND((1+L697)/ROUND(OFFSET(A698,0,FORMULÁRIO!$E$10-1)/OFFSET(A697,0,FORMULÁRIO!$E$10-1),4),8))</f>
        <v>0</v>
      </c>
      <c r="N698" s="46"/>
    </row>
    <row r="699" spans="1:14" x14ac:dyDescent="0.25">
      <c r="A699" s="59">
        <v>44562</v>
      </c>
      <c r="B699" s="62"/>
      <c r="C699" s="45"/>
      <c r="D699" s="46">
        <v>31.97</v>
      </c>
      <c r="E699" s="78">
        <v>7.7000000000000002E-3</v>
      </c>
      <c r="F699" s="57">
        <f>TabelaCalculo[[#This Row],[SELIC]]+F698</f>
        <v>3.8588999999999993</v>
      </c>
      <c r="G699" s="69">
        <f ca="1">IF(L698="","",G698+TabelaCalculo[[#This Row],[BACEN-SÉRIE 29543]])</f>
        <v>2.2074988499999995</v>
      </c>
      <c r="H699" s="46">
        <v>3.23</v>
      </c>
      <c r="I699" s="62">
        <v>84.807226999999997</v>
      </c>
      <c r="J699" s="62">
        <v>6.8539019999999997</v>
      </c>
      <c r="K699" s="62">
        <v>84.807226999999997</v>
      </c>
      <c r="L699" s="80">
        <v>7.3000000000000001E-3</v>
      </c>
      <c r="M699" s="91">
        <f ca="1">MAX(0,-1+ROUND((1+L698)/ROUND(OFFSET(A699,0,FORMULÁRIO!$E$10-1)/OFFSET(A698,0,FORMULÁRIO!$E$10-1),4),8))</f>
        <v>3.9710000000003909E-4</v>
      </c>
      <c r="N699" s="46"/>
    </row>
    <row r="700" spans="1:14" x14ac:dyDescent="0.25">
      <c r="A700" s="59">
        <v>44593</v>
      </c>
      <c r="B700" s="62"/>
      <c r="C700" s="45"/>
      <c r="D700" s="46">
        <v>31.97</v>
      </c>
      <c r="E700" s="78">
        <v>7.3000000000000001E-3</v>
      </c>
      <c r="F700" s="57">
        <f>TabelaCalculo[[#This Row],[SELIC]]+F699</f>
        <v>3.8661999999999992</v>
      </c>
      <c r="G700" s="69">
        <f ca="1">IF(L699="","",G699+TabelaCalculo[[#This Row],[BACEN-SÉRIE 29543]])</f>
        <v>2.2080948599999992</v>
      </c>
      <c r="H700" s="46">
        <v>3.24</v>
      </c>
      <c r="I700" s="62">
        <v>85.375434999999996</v>
      </c>
      <c r="J700" s="62">
        <v>6.8936539999999997</v>
      </c>
      <c r="K700" s="62">
        <v>85.375434999999996</v>
      </c>
      <c r="L700" s="80">
        <v>7.6E-3</v>
      </c>
      <c r="M700" s="91">
        <f ca="1">MAX(0,-1+ROUND((1+L699)/ROUND(OFFSET(A700,0,FORMULÁRIO!$E$10-1)/OFFSET(A699,0,FORMULÁRIO!$E$10-1),4),8))</f>
        <v>5.9600999999998017E-4</v>
      </c>
      <c r="N700" s="46"/>
    </row>
    <row r="701" spans="1:14" x14ac:dyDescent="0.25">
      <c r="A701" s="59">
        <v>44621</v>
      </c>
      <c r="B701" s="62"/>
      <c r="C701" s="45"/>
      <c r="D701" s="46">
        <v>31.97</v>
      </c>
      <c r="E701" s="78">
        <v>7.6E-3</v>
      </c>
      <c r="F701" s="57">
        <f>TabelaCalculo[[#This Row],[SELIC]]+F700</f>
        <v>3.8737999999999992</v>
      </c>
      <c r="G701" s="69">
        <f ca="1">IF(L700="","",G700+TabelaCalculo[[#This Row],[BACEN-SÉRIE 29543]])</f>
        <v>2.2080948599999992</v>
      </c>
      <c r="H701" s="46">
        <v>3.25</v>
      </c>
      <c r="I701" s="62">
        <v>86.229189000000005</v>
      </c>
      <c r="J701" s="62">
        <v>6.9619010000000001</v>
      </c>
      <c r="K701" s="62">
        <v>86.229189000000005</v>
      </c>
      <c r="L701" s="80">
        <v>9.2999999999999992E-3</v>
      </c>
      <c r="M701" s="91">
        <f ca="1">MAX(0,-1+ROUND((1+L700)/ROUND(OFFSET(A701,0,FORMULÁRIO!$E$10-1)/OFFSET(A700,0,FORMULÁRIO!$E$10-1),4),8))</f>
        <v>0</v>
      </c>
      <c r="N701" s="46"/>
    </row>
    <row r="702" spans="1:14" x14ac:dyDescent="0.25">
      <c r="A702" s="59">
        <v>44652</v>
      </c>
      <c r="B702" s="62"/>
      <c r="C702" s="45"/>
      <c r="D702" s="46">
        <v>31.97</v>
      </c>
      <c r="E702" s="78">
        <v>9.2999999999999992E-3</v>
      </c>
      <c r="F702" s="57">
        <f>TabelaCalculo[[#This Row],[SELIC]]+F701</f>
        <v>3.8830999999999993</v>
      </c>
      <c r="G702" s="69">
        <f ca="1">IF(L701="","",G701+TabelaCalculo[[#This Row],[BACEN-SÉRIE 29543]])</f>
        <v>2.2080948599999992</v>
      </c>
      <c r="H702" s="46">
        <v>3.26</v>
      </c>
      <c r="I702" s="62">
        <v>87.703708000000006</v>
      </c>
      <c r="J702" s="62">
        <v>7.0280389999999997</v>
      </c>
      <c r="K702" s="62">
        <v>87.703708000000006</v>
      </c>
      <c r="L702" s="80">
        <v>8.3000000000000001E-3</v>
      </c>
      <c r="M702" s="91">
        <f ca="1">MAX(0,-1+ROUND((1+L701)/ROUND(OFFSET(A702,0,FORMULÁRIO!$E$10-1)/OFFSET(A701,0,FORMULÁRIO!$E$10-1),4),8))</f>
        <v>0</v>
      </c>
      <c r="N702" s="46"/>
    </row>
    <row r="703" spans="1:14" x14ac:dyDescent="0.25">
      <c r="A703" s="59">
        <v>44682</v>
      </c>
      <c r="B703" s="62"/>
      <c r="C703" s="45"/>
      <c r="D703" s="46">
        <v>31.97</v>
      </c>
      <c r="E703" s="78">
        <v>8.3000000000000001E-3</v>
      </c>
      <c r="F703" s="57">
        <f>TabelaCalculo[[#This Row],[SELIC]]+F702</f>
        <v>3.8913999999999995</v>
      </c>
      <c r="G703" s="69">
        <f ca="1">IF(L702="","",G702+TabelaCalculo[[#This Row],[BACEN-SÉRIE 29543]])</f>
        <v>2.2080948599999992</v>
      </c>
      <c r="H703" s="46">
        <v>3.27</v>
      </c>
      <c r="I703" s="62">
        <v>88.615825999999998</v>
      </c>
      <c r="J703" s="62">
        <v>7.1496240000000002</v>
      </c>
      <c r="K703" s="62">
        <v>88.615825999999998</v>
      </c>
      <c r="L703" s="80">
        <v>1.03E-2</v>
      </c>
      <c r="M703" s="91">
        <f ca="1">MAX(0,-1+ROUND((1+L702)/ROUND(OFFSET(A703,0,FORMULÁRIO!$E$10-1)/OFFSET(A702,0,FORMULÁRIO!$E$10-1),4),8))</f>
        <v>0</v>
      </c>
      <c r="N703" s="46"/>
    </row>
    <row r="704" spans="1:14" x14ac:dyDescent="0.25">
      <c r="A704" s="59">
        <v>44713</v>
      </c>
      <c r="B704" s="62"/>
      <c r="C704" s="45"/>
      <c r="D704" s="46">
        <v>31.97</v>
      </c>
      <c r="E704" s="78">
        <v>1.03E-2</v>
      </c>
      <c r="F704" s="57">
        <f>TabelaCalculo[[#This Row],[SELIC]]+F703</f>
        <v>3.9016999999999995</v>
      </c>
      <c r="G704" s="69">
        <f ca="1">IF(L703="","",G703+TabelaCalculo[[#This Row],[BACEN-SÉRIE 29543]])</f>
        <v>2.2138688799999993</v>
      </c>
      <c r="H704" s="46">
        <v>3.28</v>
      </c>
      <c r="I704" s="62">
        <v>89.014596999999995</v>
      </c>
      <c r="J704" s="62">
        <v>7.1918059999999997</v>
      </c>
      <c r="K704" s="62">
        <v>89.014596999999995</v>
      </c>
      <c r="L704" s="80">
        <v>1.0200000000000001E-2</v>
      </c>
      <c r="M704" s="91">
        <f ca="1">MAX(0,-1+ROUND((1+L703)/ROUND(OFFSET(A704,0,FORMULÁRIO!$E$10-1)/OFFSET(A703,0,FORMULÁRIO!$E$10-1),4),8))</f>
        <v>5.7740200000000463E-3</v>
      </c>
      <c r="N704" s="46"/>
    </row>
    <row r="705" spans="1:14" x14ac:dyDescent="0.25">
      <c r="A705" s="59">
        <v>44743</v>
      </c>
      <c r="B705" s="62"/>
      <c r="C705" s="45"/>
      <c r="D705" s="46">
        <v>31.97</v>
      </c>
      <c r="E705" s="78">
        <v>1.0200000000000001E-2</v>
      </c>
      <c r="F705" s="57">
        <f>TabelaCalculo[[#This Row],[SELIC]]+F704</f>
        <v>3.9118999999999997</v>
      </c>
      <c r="G705" s="69">
        <f ca="1">IF(L704="","",G704+TabelaCalculo[[#This Row],[BACEN-SÉRIE 29543]])</f>
        <v>2.217844229999999</v>
      </c>
      <c r="H705" s="46">
        <v>3.29</v>
      </c>
      <c r="I705" s="62">
        <v>89.566486999999995</v>
      </c>
      <c r="J705" s="62">
        <v>7.2414290000000001</v>
      </c>
      <c r="K705" s="62">
        <v>89.566486999999995</v>
      </c>
      <c r="L705" s="80">
        <v>1.03E-2</v>
      </c>
      <c r="M705" s="91">
        <f ca="1">MAX(0,-1+ROUND((1+L704)/ROUND(OFFSET(A705,0,FORMULÁRIO!$E$10-1)/OFFSET(A704,0,FORMULÁRIO!$E$10-1),4),8))</f>
        <v>3.9753499999999331E-3</v>
      </c>
      <c r="N705" s="46"/>
    </row>
    <row r="706" spans="1:14" x14ac:dyDescent="0.25">
      <c r="A706" s="59">
        <v>44774</v>
      </c>
      <c r="B706" s="62"/>
      <c r="C706" s="45"/>
      <c r="D706" s="46">
        <v>31.97</v>
      </c>
      <c r="E706" s="78">
        <v>1.03E-2</v>
      </c>
      <c r="F706" s="57">
        <f>TabelaCalculo[[#This Row],[SELIC]]+F705</f>
        <v>3.9221999999999997</v>
      </c>
      <c r="G706" s="69">
        <f ca="1">IF(L705="","",G705+TabelaCalculo[[#This Row],[BACEN-SÉRIE 29543]])</f>
        <v>2.234242619999999</v>
      </c>
      <c r="H706" s="46">
        <v>3.3</v>
      </c>
      <c r="I706" s="62">
        <v>89.029088000000002</v>
      </c>
      <c r="J706" s="62">
        <v>7.2508419999999996</v>
      </c>
      <c r="K706" s="62">
        <v>89.029088000000002</v>
      </c>
      <c r="L706" s="80">
        <v>1.17E-2</v>
      </c>
      <c r="M706" s="91">
        <f ca="1">MAX(0,-1+ROUND((1+L705)/ROUND(OFFSET(A706,0,FORMULÁRIO!$E$10-1)/OFFSET(A705,0,FORMULÁRIO!$E$10-1),4),8))</f>
        <v>1.6398389999999985E-2</v>
      </c>
      <c r="N706" s="46"/>
    </row>
    <row r="707" spans="1:14" x14ac:dyDescent="0.25">
      <c r="A707" s="59">
        <v>44805</v>
      </c>
      <c r="B707" s="62"/>
      <c r="C707" s="45"/>
      <c r="D707" s="46">
        <v>31.97</v>
      </c>
      <c r="E707" s="78">
        <v>1.1699999999999999E-2</v>
      </c>
      <c r="F707" s="57">
        <f>TabelaCalculo[[#This Row],[SELIC]]+F706</f>
        <v>3.9338999999999995</v>
      </c>
      <c r="G707" s="69">
        <f ca="1">IF(L706="","",G706+TabelaCalculo[[#This Row],[BACEN-SÉRIE 29543]])</f>
        <v>2.2490886399999992</v>
      </c>
      <c r="H707" s="46">
        <v>3.31</v>
      </c>
      <c r="I707" s="62">
        <v>88.753096999999997</v>
      </c>
      <c r="J707" s="62">
        <v>7.1979100000000003</v>
      </c>
      <c r="K707" s="62">
        <v>88.753096999999997</v>
      </c>
      <c r="L707" s="80">
        <v>1.0699999999999999E-2</v>
      </c>
      <c r="M707" s="91">
        <f ca="1">MAX(0,-1+ROUND((1+L706)/ROUND(OFFSET(A707,0,FORMULÁRIO!$E$10-1)/OFFSET(A706,0,FORMULÁRIO!$E$10-1),4),8))</f>
        <v>1.4846020000000015E-2</v>
      </c>
      <c r="N707" s="46"/>
    </row>
    <row r="708" spans="1:14" x14ac:dyDescent="0.25">
      <c r="A708" s="59">
        <v>44835</v>
      </c>
      <c r="B708" s="62"/>
      <c r="C708" s="45"/>
      <c r="D708" s="46">
        <v>31.97</v>
      </c>
      <c r="E708" s="78">
        <v>1.0700000000000001E-2</v>
      </c>
      <c r="F708" s="57">
        <f>TabelaCalculo[[#This Row],[SELIC]]+F707</f>
        <v>3.9445999999999994</v>
      </c>
      <c r="G708" s="69">
        <f ca="1">IF(L707="","",G707+TabelaCalculo[[#This Row],[BACEN-SÉRIE 29543]])</f>
        <v>2.2630332599999994</v>
      </c>
      <c r="H708" s="46">
        <v>3.32</v>
      </c>
      <c r="I708" s="62">
        <v>88.469087000000002</v>
      </c>
      <c r="J708" s="62">
        <v>7.1712769999999999</v>
      </c>
      <c r="K708" s="62">
        <v>88.469087000000002</v>
      </c>
      <c r="L708" s="80">
        <v>1.0200000000000001E-2</v>
      </c>
      <c r="M708" s="91">
        <f ca="1">MAX(0,-1+ROUND((1+L707)/ROUND(OFFSET(A708,0,FORMULÁRIO!$E$10-1)/OFFSET(A707,0,FORMULÁRIO!$E$10-1),4),8))</f>
        <v>1.3944619999999963E-2</v>
      </c>
      <c r="N708" s="46"/>
    </row>
    <row r="709" spans="1:14" x14ac:dyDescent="0.25">
      <c r="A709" s="59">
        <v>44866</v>
      </c>
      <c r="B709" s="62"/>
      <c r="C709" s="45"/>
      <c r="D709" s="46">
        <v>31.97</v>
      </c>
      <c r="E709" s="78">
        <v>1.0200000000000001E-2</v>
      </c>
      <c r="F709" s="57">
        <f>TabelaCalculo[[#This Row],[SELIC]]+F708</f>
        <v>3.9547999999999996</v>
      </c>
      <c r="G709" s="69">
        <f ca="1">IF(L708="","",G708+TabelaCalculo[[#This Row],[BACEN-SÉRIE 29543]])</f>
        <v>2.2685075299999991</v>
      </c>
      <c r="H709" s="46">
        <v>3.33</v>
      </c>
      <c r="I709" s="62">
        <v>88.884890999999996</v>
      </c>
      <c r="J709" s="62">
        <v>7.1827509999999997</v>
      </c>
      <c r="K709" s="62">
        <v>88.884890999999996</v>
      </c>
      <c r="L709" s="80">
        <v>1.0200000000000001E-2</v>
      </c>
      <c r="M709" s="91">
        <f ca="1">MAX(0,-1+ROUND((1+L708)/ROUND(OFFSET(A709,0,FORMULÁRIO!$E$10-1)/OFFSET(A708,0,FORMULÁRIO!$E$10-1),4),8))</f>
        <v>5.4742699999998923E-3</v>
      </c>
      <c r="N709" s="46"/>
    </row>
    <row r="710" spans="1:14" x14ac:dyDescent="0.25">
      <c r="A710" s="59">
        <v>44896</v>
      </c>
      <c r="B710" s="62"/>
      <c r="C710" s="45"/>
      <c r="D710" s="46">
        <v>31.97</v>
      </c>
      <c r="E710" s="78">
        <v>1.0200000000000001E-2</v>
      </c>
      <c r="F710" s="57">
        <f>TabelaCalculo[[#This Row],[SELIC]]+F709</f>
        <v>3.9649999999999999</v>
      </c>
      <c r="G710" s="69">
        <f ca="1">IF(L709="","",G709+TabelaCalculo[[#This Row],[BACEN-SÉRIE 29543]])</f>
        <v>2.2748832999999991</v>
      </c>
      <c r="H710" s="46">
        <v>3.34</v>
      </c>
      <c r="I710" s="62">
        <v>89.222652999999994</v>
      </c>
      <c r="J710" s="62">
        <v>7.2208189999999997</v>
      </c>
      <c r="K710" s="62">
        <v>89.222652999999994</v>
      </c>
      <c r="L710" s="80">
        <v>1.12E-2</v>
      </c>
      <c r="M710" s="91">
        <f ca="1">MAX(0,-1+ROUND((1+L709)/ROUND(OFFSET(A710,0,FORMULÁRIO!$E$10-1)/OFFSET(A709,0,FORMULÁRIO!$E$10-1),4),8))</f>
        <v>6.3757700000000028E-3</v>
      </c>
      <c r="N710" s="46"/>
    </row>
    <row r="711" spans="1:14" x14ac:dyDescent="0.25">
      <c r="A711" s="59">
        <v>44927</v>
      </c>
      <c r="B711" s="62"/>
      <c r="C711" s="45"/>
      <c r="D711" s="46">
        <v>34.26</v>
      </c>
      <c r="E711" s="78">
        <v>1.1200000000000002E-2</v>
      </c>
      <c r="F711" s="57">
        <f>TabelaCalculo[[#This Row],[SELIC]]+F710</f>
        <v>3.9762</v>
      </c>
      <c r="G711" s="69">
        <f ca="1">IF(L710="","",G710+TabelaCalculo[[#This Row],[BACEN-SÉRIE 29543]])</f>
        <v>2.2791538299999994</v>
      </c>
      <c r="H711" s="46">
        <v>3.35</v>
      </c>
      <c r="I711" s="62">
        <v>89.838289000000003</v>
      </c>
      <c r="J711" s="62">
        <v>7.2583669999999998</v>
      </c>
      <c r="K711" s="62">
        <v>89.838289000000003</v>
      </c>
      <c r="L711" s="80">
        <v>1.12E-2</v>
      </c>
      <c r="M711" s="91">
        <f ca="1">MAX(0,-1+ROUND((1+L710)/ROUND(OFFSET(A711,0,FORMULÁRIO!$E$10-1)/OFFSET(A710,0,FORMULÁRIO!$E$10-1),4),8))</f>
        <v>4.2705300000001056E-3</v>
      </c>
      <c r="N711" s="46"/>
    </row>
    <row r="712" spans="1:14" x14ac:dyDescent="0.25">
      <c r="A712" s="59">
        <v>44958</v>
      </c>
      <c r="B712" s="62"/>
      <c r="C712" s="45"/>
      <c r="D712" s="46">
        <v>34.26</v>
      </c>
      <c r="E712" s="78">
        <v>1.1200000000000002E-2</v>
      </c>
      <c r="F712" s="57">
        <f>TabelaCalculo[[#This Row],[SELIC]]+F711</f>
        <v>3.9874000000000001</v>
      </c>
      <c r="G712" s="69">
        <f ca="1">IF(L711="","",G711+TabelaCalculo[[#This Row],[BACEN-SÉRIE 29543]])</f>
        <v>2.2857236099999994</v>
      </c>
      <c r="H712" s="46">
        <v>3.36</v>
      </c>
      <c r="I712" s="62">
        <v>90.251544999999993</v>
      </c>
      <c r="J712" s="62">
        <v>7.2982880000000003</v>
      </c>
      <c r="K712" s="62">
        <v>90.251544999999993</v>
      </c>
      <c r="L712" s="80">
        <v>9.1999999999999998E-3</v>
      </c>
      <c r="M712" s="91">
        <f ca="1">MAX(0,-1+ROUND((1+L711)/ROUND(OFFSET(A712,0,FORMULÁRIO!$E$10-1)/OFFSET(A711,0,FORMULÁRIO!$E$10-1),4),8))</f>
        <v>6.5697799999999695E-3</v>
      </c>
      <c r="N712" s="46"/>
    </row>
    <row r="713" spans="1:14" x14ac:dyDescent="0.25">
      <c r="A713" s="59">
        <v>44986</v>
      </c>
      <c r="B713" s="62"/>
      <c r="C713" s="45"/>
      <c r="D713" s="46">
        <v>34.26</v>
      </c>
      <c r="E713" s="78">
        <v>9.1999999999999998E-3</v>
      </c>
      <c r="F713" s="57">
        <f>TabelaCalculo[[#This Row],[SELIC]]+F712</f>
        <v>3.9965999999999999</v>
      </c>
      <c r="G713" s="69">
        <f ca="1">IF(L712="","",G712+TabelaCalculo[[#This Row],[BACEN-SÉRIE 29543]])</f>
        <v>2.2872121499999993</v>
      </c>
      <c r="H713" s="46">
        <v>3.37</v>
      </c>
      <c r="I713" s="62">
        <v>90.946481000000006</v>
      </c>
      <c r="J713" s="62">
        <v>7.3537540000000003</v>
      </c>
      <c r="K713" s="62">
        <v>90.946481000000006</v>
      </c>
      <c r="L713" s="80">
        <v>1.17E-2</v>
      </c>
      <c r="M713" s="91">
        <f ca="1">MAX(0,-1+ROUND((1+L712)/ROUND(OFFSET(A713,0,FORMULÁRIO!$E$10-1)/OFFSET(A712,0,FORMULÁRIO!$E$10-1),4),8))</f>
        <v>1.4885399999999827E-3</v>
      </c>
      <c r="N713" s="46"/>
    </row>
    <row r="714" spans="1:14" x14ac:dyDescent="0.25">
      <c r="A714" s="59">
        <v>45017</v>
      </c>
      <c r="B714" s="62"/>
      <c r="C714" s="45"/>
      <c r="D714" s="46">
        <v>34.26</v>
      </c>
      <c r="E714" s="78">
        <v>1.1699999999999999E-2</v>
      </c>
      <c r="F714" s="57">
        <f>TabelaCalculo[[#This Row],[SELIC]]+F713</f>
        <v>4.0083000000000002</v>
      </c>
      <c r="G714" s="69">
        <f ca="1">IF(L713="","",G713+TabelaCalculo[[#This Row],[BACEN-SÉRIE 29543]])</f>
        <v>2.2924784499999991</v>
      </c>
      <c r="H714" s="46">
        <v>3.38</v>
      </c>
      <c r="I714" s="62">
        <v>91.528537999999998</v>
      </c>
      <c r="J714" s="62">
        <v>7.4044939999999997</v>
      </c>
      <c r="K714" s="62">
        <v>91.528537999999998</v>
      </c>
      <c r="L714" s="80">
        <v>9.1999999999999998E-3</v>
      </c>
      <c r="M714" s="91">
        <f ca="1">MAX(0,-1+ROUND((1+L713)/ROUND(OFFSET(A714,0,FORMULÁRIO!$E$10-1)/OFFSET(A713,0,FORMULÁRIO!$E$10-1),4),8))</f>
        <v>5.266299999999946E-3</v>
      </c>
      <c r="N714" s="46"/>
    </row>
    <row r="715" spans="1:14" x14ac:dyDescent="0.25">
      <c r="A715" s="59">
        <v>45047</v>
      </c>
      <c r="B715" s="62"/>
      <c r="C715" s="45"/>
      <c r="D715" s="46">
        <v>34.26</v>
      </c>
      <c r="E715" s="78">
        <v>9.1999999999999998E-3</v>
      </c>
      <c r="F715" s="57">
        <f>TabelaCalculo[[#This Row],[SELIC]]+F714</f>
        <v>4.0175000000000001</v>
      </c>
      <c r="G715" s="69">
        <f ca="1">IF(L714="","",G714+TabelaCalculo[[#This Row],[BACEN-SÉRIE 29543]])</f>
        <v>2.296357889999999</v>
      </c>
      <c r="H715" s="46">
        <v>3.39</v>
      </c>
      <c r="I715" s="62">
        <v>92.013638999999998</v>
      </c>
      <c r="J715" s="62">
        <v>7.4466989999999997</v>
      </c>
      <c r="K715" s="62">
        <v>92.013638999999998</v>
      </c>
      <c r="L715" s="80">
        <v>1.12E-2</v>
      </c>
      <c r="M715" s="91">
        <f ca="1">MAX(0,-1+ROUND((1+L714)/ROUND(OFFSET(A715,0,FORMULÁRIO!$E$10-1)/OFFSET(A714,0,FORMULÁRIO!$E$10-1),4),8))</f>
        <v>3.8794399999999563E-3</v>
      </c>
      <c r="N715" s="46"/>
    </row>
    <row r="716" spans="1:14" x14ac:dyDescent="0.25">
      <c r="A716" s="59">
        <v>45078</v>
      </c>
      <c r="B716" s="62"/>
      <c r="C716" s="45"/>
      <c r="D716" s="46">
        <v>34.26</v>
      </c>
      <c r="E716" s="78">
        <v>1.1200000000000002E-2</v>
      </c>
      <c r="F716" s="57">
        <f>TabelaCalculo[[#This Row],[SELIC]]+F715</f>
        <v>4.0286999999999997</v>
      </c>
      <c r="G716" s="69">
        <f ca="1">IF(L715="","",G715+TabelaCalculo[[#This Row],[BACEN-SÉRIE 29543]])</f>
        <v>2.3039306299999991</v>
      </c>
      <c r="H716" s="46">
        <v>3.4</v>
      </c>
      <c r="I716" s="62">
        <v>92.344887999999997</v>
      </c>
      <c r="J716" s="62">
        <v>7.4846769999999996</v>
      </c>
      <c r="K716" s="62">
        <v>92.344887999999997</v>
      </c>
      <c r="L716" s="80">
        <v>1.0699999999999999E-2</v>
      </c>
      <c r="M716" s="91">
        <f ca="1">MAX(0,-1+ROUND((1+L715)/ROUND(OFFSET(A716,0,FORMULÁRIO!$E$10-1)/OFFSET(A715,0,FORMULÁRIO!$E$10-1),4),8))</f>
        <v>7.5727400000000777E-3</v>
      </c>
      <c r="N716" s="46"/>
    </row>
    <row r="717" spans="1:14" x14ac:dyDescent="0.25">
      <c r="A717" s="59">
        <v>45108</v>
      </c>
      <c r="B717" s="62"/>
      <c r="C717" s="45"/>
      <c r="D717" s="46">
        <v>34.26</v>
      </c>
      <c r="E717" s="78">
        <v>1.0700000000000001E-2</v>
      </c>
      <c r="F717" s="57">
        <f>TabelaCalculo[[#This Row],[SELIC]]+F716</f>
        <v>4.0393999999999997</v>
      </c>
      <c r="G717" s="69">
        <f ca="1">IF(L716="","",G716+TabelaCalculo[[#This Row],[BACEN-SÉRIE 29543]])</f>
        <v>2.3156423399999992</v>
      </c>
      <c r="H717" s="46">
        <v>3.41</v>
      </c>
      <c r="I717" s="62">
        <v>92.252543000000003</v>
      </c>
      <c r="J717" s="62">
        <v>7.4876699999999996</v>
      </c>
      <c r="K717" s="62">
        <v>92.252543000000003</v>
      </c>
      <c r="L717" s="80">
        <v>1.0699999999999999E-2</v>
      </c>
      <c r="M717" s="91">
        <f ca="1">MAX(0,-1+ROUND((1+L716)/ROUND(OFFSET(A717,0,FORMULÁRIO!$E$10-1)/OFFSET(A716,0,FORMULÁRIO!$E$10-1),4),8))</f>
        <v>1.1711709999999931E-2</v>
      </c>
      <c r="N717" s="46"/>
    </row>
    <row r="718" spans="1:14" x14ac:dyDescent="0.25">
      <c r="A718" s="59">
        <v>45139</v>
      </c>
      <c r="B718" s="62"/>
      <c r="C718" s="45"/>
      <c r="D718" s="46">
        <v>34.26</v>
      </c>
      <c r="E718" s="78">
        <v>1.0700000000000001E-2</v>
      </c>
      <c r="F718" s="57">
        <f>TabelaCalculo[[#This Row],[SELIC]]+F717</f>
        <v>4.0500999999999996</v>
      </c>
      <c r="G718" s="69">
        <f ca="1">IF(L717="","",G717+TabelaCalculo[[#This Row],[BACEN-SÉRIE 29543]])</f>
        <v>2.3272527899999993</v>
      </c>
      <c r="H718" s="46">
        <v>3.42</v>
      </c>
      <c r="I718" s="62">
        <v>92.169515000000004</v>
      </c>
      <c r="J718" s="62">
        <v>7.4824279999999996</v>
      </c>
      <c r="K718" s="62">
        <v>92.169515000000004</v>
      </c>
      <c r="L718" s="80">
        <v>1.14E-2</v>
      </c>
      <c r="M718" s="91">
        <f ca="1">MAX(0,-1+ROUND((1+L717)/ROUND(OFFSET(A718,0,FORMULÁRIO!$E$10-1)/OFFSET(A717,0,FORMULÁRIO!$E$10-1),4),8))</f>
        <v>1.161045000000005E-2</v>
      </c>
      <c r="N718" s="46"/>
    </row>
    <row r="719" spans="1:14" x14ac:dyDescent="0.25">
      <c r="A719" s="59">
        <v>45170</v>
      </c>
      <c r="B719" s="62"/>
      <c r="C719" s="45"/>
      <c r="D719" s="46">
        <v>34.26</v>
      </c>
      <c r="E719" s="78">
        <v>1.1399999999999999E-2</v>
      </c>
      <c r="F719" s="57">
        <f>TabelaCalculo[[#This Row],[SELIC]]+F718</f>
        <v>4.0614999999999997</v>
      </c>
      <c r="G719" s="69">
        <f ca="1">IF(L718="","",G718+TabelaCalculo[[#This Row],[BACEN-SÉRIE 29543]])</f>
        <v>2.336634029999999</v>
      </c>
      <c r="H719" s="46">
        <v>3.43</v>
      </c>
      <c r="I719" s="62">
        <v>92.353853999999998</v>
      </c>
      <c r="J719" s="62">
        <v>7.5033779999999997</v>
      </c>
      <c r="K719" s="62">
        <v>92.353853999999998</v>
      </c>
      <c r="L719" s="80">
        <v>9.7000000000000003E-3</v>
      </c>
      <c r="M719" s="91">
        <f ca="1">MAX(0,-1+ROUND((1+L718)/ROUND(OFFSET(A719,0,FORMULÁRIO!$E$10-1)/OFFSET(A718,0,FORMULÁRIO!$E$10-1),4),8))</f>
        <v>9.3812399999999574E-3</v>
      </c>
      <c r="N719" s="46"/>
    </row>
    <row r="720" spans="1:14" x14ac:dyDescent="0.25">
      <c r="A720" s="59">
        <v>45200</v>
      </c>
      <c r="B720" s="62"/>
      <c r="C720" s="45"/>
      <c r="D720" s="46">
        <v>34.26</v>
      </c>
      <c r="E720" s="78">
        <v>9.7000000000000003E-3</v>
      </c>
      <c r="F720" s="57">
        <f>TabelaCalculo[[#This Row],[SELIC]]+F719</f>
        <v>4.0711999999999993</v>
      </c>
      <c r="G720" s="69">
        <f ca="1">IF(L719="","",G719+TabelaCalculo[[#This Row],[BACEN-SÉRIE 29543]])</f>
        <v>2.3452245799999991</v>
      </c>
      <c r="H720" s="46">
        <v>3.44</v>
      </c>
      <c r="I720" s="62">
        <v>92.455443000000002</v>
      </c>
      <c r="J720" s="62">
        <v>7.5296390000000004</v>
      </c>
      <c r="K720" s="62">
        <v>92.455443000000002</v>
      </c>
      <c r="L720" s="80">
        <v>0.01</v>
      </c>
      <c r="M720" s="91">
        <f ca="1">MAX(0,-1+ROUND((1+L719)/ROUND(OFFSET(A720,0,FORMULÁRIO!$E$10-1)/OFFSET(A719,0,FORMULÁRIO!$E$10-1),4),8))</f>
        <v>8.5905500000000856E-3</v>
      </c>
      <c r="N720" s="46"/>
    </row>
    <row r="721" spans="1:15" x14ac:dyDescent="0.25">
      <c r="A721" s="59">
        <v>45231</v>
      </c>
      <c r="B721" s="62"/>
      <c r="C721" s="45"/>
      <c r="D721" s="46">
        <v>34.26</v>
      </c>
      <c r="E721" s="78">
        <v>0.01</v>
      </c>
      <c r="F721" s="57">
        <f>TabelaCalculo[[#This Row],[SELIC]]+F720</f>
        <v>4.0811999999999991</v>
      </c>
      <c r="G721" s="69">
        <f ca="1">IF(L720="","",G720+TabelaCalculo[[#This Row],[BACEN-SÉRIE 29543]])</f>
        <v>2.3540140299999992</v>
      </c>
      <c r="H721" s="46">
        <v>3.45</v>
      </c>
      <c r="I721" s="62">
        <v>92.566389000000001</v>
      </c>
      <c r="J721" s="62">
        <v>7.5454509999999999</v>
      </c>
      <c r="K721" s="62">
        <v>92.566389000000001</v>
      </c>
      <c r="L721" s="80">
        <v>9.1999999999999998E-3</v>
      </c>
      <c r="M721" s="91">
        <f ca="1">MAX(0,-1+ROUND((1+L720)/ROUND(OFFSET(A721,0,FORMULÁRIO!$E$10-1)/OFFSET(A720,0,FORMULÁRIO!$E$10-1),4),8))</f>
        <v>8.7894500000000875E-3</v>
      </c>
      <c r="N721" s="46"/>
    </row>
    <row r="722" spans="1:15" x14ac:dyDescent="0.25">
      <c r="A722" s="59">
        <v>45261</v>
      </c>
      <c r="B722" s="62"/>
      <c r="C722" s="45"/>
      <c r="D722" s="46">
        <v>34.26</v>
      </c>
      <c r="E722" s="78">
        <v>9.1999999999999998E-3</v>
      </c>
      <c r="F722" s="57">
        <f>TabelaCalculo[[#This Row],[SELIC]]+F721</f>
        <v>4.0903999999999989</v>
      </c>
      <c r="G722" s="69">
        <f ca="1">IF(L721="","",G721+TabelaCalculo[[#This Row],[BACEN-SÉRIE 29543]])</f>
        <v>2.3622058399999992</v>
      </c>
      <c r="H722" s="46">
        <v>3.46</v>
      </c>
      <c r="I722" s="62">
        <v>92.658955000000006</v>
      </c>
      <c r="J722" s="62">
        <v>7.5703500000000004</v>
      </c>
      <c r="K722" s="62">
        <v>92.658955000000006</v>
      </c>
      <c r="L722" s="80">
        <v>8.8999999999999999E-3</v>
      </c>
      <c r="M722" s="91">
        <f ca="1">MAX(0,-1+ROUND((1+L721)/ROUND(OFFSET(A722,0,FORMULÁRIO!$E$10-1)/OFFSET(A721,0,FORMULÁRIO!$E$10-1),4),8))</f>
        <v>8.1918100000000216E-3</v>
      </c>
      <c r="N722" s="46"/>
    </row>
    <row r="723" spans="1:15" x14ac:dyDescent="0.25">
      <c r="A723" s="59">
        <v>45292</v>
      </c>
      <c r="B723" s="62"/>
      <c r="C723" s="45"/>
      <c r="D723" s="46">
        <v>35.36</v>
      </c>
      <c r="E723" s="78">
        <v>8.8999999999999999E-3</v>
      </c>
      <c r="F723" s="57">
        <f>TabelaCalculo[[#This Row],[SELIC]]+F722</f>
        <v>4.0992999999999986</v>
      </c>
      <c r="G723" s="69">
        <f ca="1">IF(L722="","",G722+TabelaCalculo[[#This Row],[BACEN-SÉRIE 29543]])</f>
        <v>2.3655872399999991</v>
      </c>
      <c r="H723" s="46">
        <v>3.47</v>
      </c>
      <c r="I723" s="62">
        <v>93.168578999999994</v>
      </c>
      <c r="J723" s="62">
        <v>7.6006309999999999</v>
      </c>
      <c r="K723" s="62">
        <v>93.168578999999994</v>
      </c>
      <c r="L723" s="80">
        <v>9.7000000000000003E-3</v>
      </c>
      <c r="M723" s="91">
        <f ca="1">MAX(0,-1+ROUND((1+L722)/ROUND(OFFSET(A723,0,FORMULÁRIO!$E$10-1)/OFFSET(A722,0,FORMULÁRIO!$E$10-1),4),8))</f>
        <v>3.3814000000000899E-3</v>
      </c>
      <c r="N723" s="46"/>
    </row>
    <row r="724" spans="1:15" x14ac:dyDescent="0.25">
      <c r="A724" s="59">
        <v>45323</v>
      </c>
      <c r="B724" s="62"/>
      <c r="C724" s="45"/>
      <c r="D724" s="46">
        <v>35.36</v>
      </c>
      <c r="E724" s="78">
        <v>9.7000000000000003E-3</v>
      </c>
      <c r="F724" s="57">
        <f>TabelaCalculo[[#This Row],[SELIC]]+F723</f>
        <v>4.1089999999999982</v>
      </c>
      <c r="G724" s="69">
        <f ca="1">IF(L723="","",G723+TabelaCalculo[[#This Row],[BACEN-SÉRIE 29543]])</f>
        <v>2.3695645699999988</v>
      </c>
      <c r="H724" s="46">
        <v>3.48</v>
      </c>
      <c r="I724" s="62">
        <v>93.699639000000005</v>
      </c>
      <c r="J724" s="62">
        <v>7.6241919999999999</v>
      </c>
      <c r="K724" s="62">
        <v>93.699639000000005</v>
      </c>
      <c r="L724" s="80">
        <v>8.0000000000000002E-3</v>
      </c>
      <c r="M724" s="91">
        <f ca="1">MAX(0,-1+ROUND((1+L723)/ROUND(OFFSET(A724,0,FORMULÁRIO!$E$10-1)/OFFSET(A723,0,FORMULÁRIO!$E$10-1),4),8))</f>
        <v>3.9773299999998901E-3</v>
      </c>
      <c r="N724" s="46"/>
    </row>
    <row r="725" spans="1:15" x14ac:dyDescent="0.25">
      <c r="A725" s="59">
        <v>45352</v>
      </c>
      <c r="B725" s="62"/>
      <c r="C725" s="45"/>
      <c r="D725" s="46">
        <v>35.36</v>
      </c>
      <c r="E725" s="78">
        <v>8.0000000000000002E-3</v>
      </c>
      <c r="F725" s="57">
        <f>TabelaCalculo[[#This Row],[SELIC]]+F724</f>
        <v>4.1169999999999982</v>
      </c>
      <c r="G725" s="69">
        <f ca="1">IF(L724="","",G724+TabelaCalculo[[#This Row],[BACEN-SÉRIE 29543]])</f>
        <v>2.3695645699999988</v>
      </c>
      <c r="H725" s="46">
        <v>3.49</v>
      </c>
      <c r="I725" s="62">
        <v>94.458606000000003</v>
      </c>
      <c r="J725" s="62">
        <v>7.6836599999999997</v>
      </c>
      <c r="K725" s="62">
        <v>94.458606000000003</v>
      </c>
      <c r="L725" s="80">
        <v>8.3000000000000001E-3</v>
      </c>
      <c r="M725" s="91">
        <f ca="1">MAX(0,-1+ROUND((1+L724)/ROUND(OFFSET(A725,0,FORMULÁRIO!$E$10-1)/OFFSET(A724,0,FORMULÁRIO!$E$10-1),4),8))</f>
        <v>0</v>
      </c>
      <c r="N725" s="46"/>
    </row>
    <row r="726" spans="1:15" x14ac:dyDescent="0.25">
      <c r="A726" s="59">
        <v>45383</v>
      </c>
      <c r="B726" s="62"/>
      <c r="C726" s="45"/>
      <c r="D726" s="46">
        <v>35.36</v>
      </c>
      <c r="E726" s="78">
        <v>8.3000000000000001E-3</v>
      </c>
      <c r="F726" s="57">
        <f>TabelaCalculo[[#This Row],[SELIC]]+F725</f>
        <v>4.1252999999999984</v>
      </c>
      <c r="G726" s="69">
        <f ca="1">IF(L725="","",G725+TabelaCalculo[[#This Row],[BACEN-SÉRIE 29543]])</f>
        <v>2.375952429999999</v>
      </c>
      <c r="H726" s="46">
        <v>3.5</v>
      </c>
      <c r="I726" s="62">
        <v>94.638076999999996</v>
      </c>
      <c r="J726" s="62">
        <v>7.7113209999999999</v>
      </c>
      <c r="K726" s="62">
        <v>94.638076999999996</v>
      </c>
      <c r="L726" s="80">
        <v>8.8999999999999999E-3</v>
      </c>
      <c r="M726" s="91">
        <f ca="1">MAX(0,-1+ROUND((1+L725)/ROUND(OFFSET(A726,0,FORMULÁRIO!$E$10-1)/OFFSET(A725,0,FORMULÁRIO!$E$10-1),4),8))</f>
        <v>6.387860000000023E-3</v>
      </c>
      <c r="N726" s="46"/>
    </row>
    <row r="727" spans="1:15" x14ac:dyDescent="0.25">
      <c r="A727" s="59">
        <v>45413</v>
      </c>
      <c r="B727" s="62"/>
      <c r="C727" s="45"/>
      <c r="D727" s="46">
        <v>35.36</v>
      </c>
      <c r="E727" s="78">
        <v>8.8999999999999999E-3</v>
      </c>
      <c r="F727" s="57">
        <f>TabelaCalculo[[#This Row],[SELIC]]+F726</f>
        <v>4.1341999999999981</v>
      </c>
      <c r="G727" s="69">
        <f ca="1">IF(L726="","",G726+TabelaCalculo[[#This Row],[BACEN-SÉRIE 29543]])</f>
        <v>2.381133259999999</v>
      </c>
      <c r="H727" s="46">
        <v>3.51</v>
      </c>
      <c r="I727" s="62">
        <v>94.988236999999998</v>
      </c>
      <c r="J727" s="62">
        <v>7.7275140000000002</v>
      </c>
      <c r="K727" s="62">
        <v>94.988236999999998</v>
      </c>
      <c r="L727" s="80">
        <v>8.3000000000000001E-3</v>
      </c>
      <c r="M727" s="91">
        <f ca="1">MAX(0,-1+ROUND((1+L726)/ROUND(OFFSET(A727,0,FORMULÁRIO!$E$10-1)/OFFSET(A726,0,FORMULÁRIO!$E$10-1),4),8))</f>
        <v>5.1808300000000251E-3</v>
      </c>
      <c r="N727" s="46"/>
    </row>
    <row r="728" spans="1:15" x14ac:dyDescent="0.25">
      <c r="A728" s="59">
        <v>45444</v>
      </c>
      <c r="B728" s="62"/>
      <c r="C728" s="45"/>
      <c r="D728" s="46">
        <v>35.36</v>
      </c>
      <c r="E728" s="78">
        <v>8.3000000000000001E-3</v>
      </c>
      <c r="F728" s="57">
        <f>TabelaCalculo[[#This Row],[SELIC]]+F727</f>
        <v>4.1424999999999983</v>
      </c>
      <c r="G728" s="69">
        <f ca="1">IF(L727="","",G727+TabelaCalculo[[#This Row],[BACEN-SÉRIE 29543]])</f>
        <v>2.3848163199999988</v>
      </c>
      <c r="H728" s="46">
        <v>3.52</v>
      </c>
      <c r="I728" s="62">
        <v>95.425182000000007</v>
      </c>
      <c r="J728" s="62">
        <v>7.7615150000000002</v>
      </c>
      <c r="K728" s="62">
        <v>95.425182000000007</v>
      </c>
      <c r="L728" s="80">
        <v>7.9000000000000008E-3</v>
      </c>
      <c r="M728" s="91">
        <f ca="1">MAX(0,-1+ROUND((1+L727)/ROUND(OFFSET(A728,0,FORMULÁRIO!$E$10-1)/OFFSET(A727,0,FORMULÁRIO!$E$10-1),4),8))</f>
        <v>3.6830599999999603E-3</v>
      </c>
      <c r="N728" s="46"/>
    </row>
    <row r="729" spans="1:15" x14ac:dyDescent="0.25">
      <c r="A729" s="59">
        <v>45474</v>
      </c>
      <c r="B729" s="62"/>
      <c r="C729" s="45"/>
      <c r="D729" s="46">
        <v>35.36</v>
      </c>
      <c r="E729" s="78">
        <v>7.9000000000000008E-3</v>
      </c>
      <c r="F729" s="57">
        <f>TabelaCalculo[[#This Row],[SELIC]]+F728</f>
        <v>4.1503999999999985</v>
      </c>
      <c r="G729" s="69">
        <f ca="1">IF(L728="","",G728+TabelaCalculo[[#This Row],[BACEN-SÉRIE 29543]])</f>
        <v>2.3902028499999988</v>
      </c>
      <c r="H729" s="46">
        <v>3.53</v>
      </c>
      <c r="I729" s="62">
        <v>95.663743999999994</v>
      </c>
      <c r="J729" s="62">
        <v>7.7917839999999998</v>
      </c>
      <c r="K729" s="62">
        <v>95.663743999999994</v>
      </c>
      <c r="L729" s="80">
        <v>9.0712199999999996E-3</v>
      </c>
      <c r="M729" s="91">
        <f ca="1">MAX(0,-1+ROUND((1+L728)/ROUND(OFFSET(A729,0,FORMULÁRIO!$E$10-1)/OFFSET(A728,0,FORMULÁRIO!$E$10-1),4),8))</f>
        <v>5.3865300000000005E-3</v>
      </c>
      <c r="N729" s="46"/>
    </row>
    <row r="730" spans="1:15" x14ac:dyDescent="0.25">
      <c r="A730" s="59">
        <v>45505</v>
      </c>
      <c r="B730" s="62"/>
      <c r="C730" s="45"/>
      <c r="D730" s="46">
        <v>35.36</v>
      </c>
      <c r="E730" s="78">
        <v>9.1000000000000004E-3</v>
      </c>
      <c r="F730" s="57">
        <f>TabelaCalculo[[#This Row],[SELIC]]+F729</f>
        <v>4.1594999999999986</v>
      </c>
      <c r="G730" s="69">
        <f ca="1">IF(L729="","",G729+TabelaCalculo[[#This Row],[BACEN-SÉRIE 29543]])</f>
        <v>2.3966572899999985</v>
      </c>
      <c r="H730" s="46">
        <v>3.54</v>
      </c>
      <c r="I730" s="62">
        <v>95.912469000000002</v>
      </c>
      <c r="J730" s="62">
        <v>7.8151590000000004</v>
      </c>
      <c r="K730" s="62">
        <v>95.912469000000002</v>
      </c>
      <c r="L730" s="80">
        <v>8.6751199999999997E-3</v>
      </c>
      <c r="M730" s="91">
        <f ca="1">MAX(0,-1+ROUND((1+L729)/ROUND(OFFSET(A730,0,FORMULÁRIO!$E$10-1)/OFFSET(A729,0,FORMULÁRIO!$E$10-1),4),8))</f>
        <v>6.4544399999999502E-3</v>
      </c>
      <c r="N730" s="46"/>
    </row>
    <row r="731" spans="1:15" x14ac:dyDescent="0.25">
      <c r="A731" s="59">
        <v>45536</v>
      </c>
      <c r="B731" s="62"/>
      <c r="C731" s="62"/>
      <c r="D731" s="46">
        <v>35.36</v>
      </c>
      <c r="E731" s="78">
        <v>8.6999999999999994E-3</v>
      </c>
      <c r="F731" s="57">
        <f>TabelaCalculo[[#This Row],[SELIC]]+F730</f>
        <v>4.1681999999999988</v>
      </c>
      <c r="G731" s="68">
        <f ca="1">IF(L730="","",G730+TabelaCalculo[[#This Row],[BACEN-SÉRIE 29543]])</f>
        <v>2.4034195599999988</v>
      </c>
      <c r="H731" s="46">
        <v>3.55</v>
      </c>
      <c r="I731" s="62">
        <v>95.778191000000007</v>
      </c>
      <c r="J731" s="62">
        <v>7.8300070000000002</v>
      </c>
      <c r="K731" s="62">
        <v>96.094701999999998</v>
      </c>
      <c r="L731" s="80">
        <v>8.3515699999999991E-3</v>
      </c>
      <c r="M731" s="91">
        <f ca="1">MAX(0,-1+ROUND((1+L730)/ROUND(OFFSET(A731,0,FORMULÁRIO!$E$10-1)/OFFSET(A730,0,FORMULÁRIO!$E$10-1),4),8))</f>
        <v>6.7622700000000702E-3</v>
      </c>
      <c r="N731" s="46"/>
      <c r="O731" s="78"/>
    </row>
    <row r="732" spans="1:15" x14ac:dyDescent="0.25">
      <c r="A732" s="59">
        <v>45566</v>
      </c>
      <c r="B732" s="61"/>
      <c r="C732" s="61"/>
      <c r="D732" s="46">
        <v>35.36</v>
      </c>
      <c r="E732" s="78">
        <v>8.3999999999999995E-3</v>
      </c>
      <c r="F732" s="67">
        <f>TabelaCalculo[[#This Row],[SELIC]]+F731</f>
        <v>4.1765999999999988</v>
      </c>
      <c r="G732" s="68">
        <f ca="1">IF(L731="","",G731+TabelaCalculo[[#This Row],[BACEN-SÉRIE 29543]])</f>
        <v>2.4104619699999987</v>
      </c>
      <c r="H732" s="46">
        <v>3.56</v>
      </c>
      <c r="I732" s="62">
        <v>96.237926000000002</v>
      </c>
      <c r="J732" s="62">
        <f>TRUNC(J731*1.0013,6)</f>
        <v>7.8401860000000001</v>
      </c>
      <c r="K732" s="62">
        <f>TRUNC(K731*1.0013,6)</f>
        <v>96.219624999999994</v>
      </c>
      <c r="L732" s="80">
        <v>9.2795800000000008E-3</v>
      </c>
      <c r="M732" s="91">
        <f ca="1">MAX(0,-1+ROUND((1+L731)/ROUND(OFFSET(A732,0,FORMULÁRIO!$E$10-1)/OFFSET(A731,0,FORMULÁRIO!$E$10-1),4),8))</f>
        <v>7.0424099999999434E-3</v>
      </c>
      <c r="N732" s="46"/>
      <c r="O732" s="78"/>
    </row>
    <row r="733" spans="1:15" x14ac:dyDescent="0.25">
      <c r="A733" s="59">
        <v>45597</v>
      </c>
      <c r="B733" s="61"/>
      <c r="C733" s="61"/>
      <c r="D733" s="46">
        <v>35.36</v>
      </c>
      <c r="E733" s="78">
        <v>9.300000000000001E-3</v>
      </c>
      <c r="F733" s="67">
        <f>TabelaCalculo[[#This Row],[SELIC]]+F732</f>
        <v>4.1858999999999984</v>
      </c>
      <c r="G733" s="68">
        <f ca="1">IF(L732="","",G732+TabelaCalculo[[#This Row],[BACEN-SÉRIE 29543]])</f>
        <v>2.4143207099999988</v>
      </c>
      <c r="H733" s="46">
        <v>3.57</v>
      </c>
      <c r="I733" s="62">
        <v>96.824977000000004</v>
      </c>
      <c r="J733" s="62">
        <v>7.8825229999999999</v>
      </c>
      <c r="K733" s="62">
        <v>96.73921</v>
      </c>
      <c r="L733" s="80">
        <v>7.9299000000000001E-3</v>
      </c>
      <c r="M733" s="91">
        <f ca="1">MAX(0,-1+ROUND((1+L732)/ROUND(OFFSET(A733,0,FORMULÁRIO!$E$10-1)/OFFSET(A732,0,FORMULÁRIO!$E$10-1),4),8))</f>
        <v>3.8587400000000827E-3</v>
      </c>
      <c r="N733" s="46"/>
      <c r="O733" s="78"/>
    </row>
    <row r="734" spans="1:15" x14ac:dyDescent="0.25">
      <c r="A734" s="59">
        <v>45627</v>
      </c>
      <c r="B734" s="61"/>
      <c r="C734" s="61"/>
      <c r="D734" s="46">
        <v>35.36</v>
      </c>
      <c r="E734" s="78">
        <v>7.9000000000000008E-3</v>
      </c>
      <c r="F734" s="67">
        <f>TabelaCalculo[[#This Row],[SELIC]]+F733</f>
        <v>4.1937999999999986</v>
      </c>
      <c r="G734" s="68">
        <f ca="1">IF(L733="","",G733+TabelaCalculo[[#This Row],[BACEN-SÉRIE 29543]])</f>
        <v>2.4160399499999987</v>
      </c>
      <c r="H734" s="46">
        <v>3.58</v>
      </c>
      <c r="I734" s="62">
        <v>97.144498999999996</v>
      </c>
      <c r="J734" s="62">
        <v>7.9313940000000001</v>
      </c>
      <c r="K734" s="62">
        <v>97.338993000000002</v>
      </c>
      <c r="L734" s="80">
        <v>9.3143099999999993E-3</v>
      </c>
      <c r="M734" s="91">
        <f ca="1">MAX(0,-1+ROUND((1+L733)/ROUND(OFFSET(A734,0,FORMULÁRIO!$E$10-1)/OFFSET(A733,0,FORMULÁRIO!$E$10-1),4),8))</f>
        <v>1.7192399999998997E-3</v>
      </c>
      <c r="N734" s="46"/>
      <c r="O734" s="78"/>
    </row>
    <row r="735" spans="1:15" x14ac:dyDescent="0.25">
      <c r="A735" s="59">
        <v>45658</v>
      </c>
      <c r="B735" s="61"/>
      <c r="C735" s="61"/>
      <c r="D735" s="47">
        <v>37.020000000000003</v>
      </c>
      <c r="E735" s="78">
        <v>9.300000000000001E-3</v>
      </c>
      <c r="F735" s="67">
        <f>TabelaCalculo[[#This Row],[SELIC]]+F734</f>
        <v>4.2030999999999983</v>
      </c>
      <c r="G735" s="68">
        <f ca="1">IF(L734="","",G734+TabelaCalculo[[#This Row],[BACEN-SÉRIE 29543]])</f>
        <v>2.4219342199999989</v>
      </c>
      <c r="H735" s="46">
        <v>3.59</v>
      </c>
      <c r="I735" s="62">
        <v>97.610792000000004</v>
      </c>
      <c r="J735" s="62">
        <v>7.9583599999999999</v>
      </c>
      <c r="K735" s="62">
        <v>97.669944999999998</v>
      </c>
      <c r="L735" s="80">
        <v>1.01013201E-2</v>
      </c>
      <c r="M735" s="91">
        <f ca="1">MAX(0,-1+ROUND((1+L734)/ROUND(OFFSET(A735,0,FORMULÁRIO!$E$10-1)/OFFSET(A734,0,FORMULÁRIO!$E$10-1),4),8))</f>
        <v>5.8942699999999792E-3</v>
      </c>
      <c r="N735" s="46"/>
      <c r="O735" s="78"/>
    </row>
    <row r="736" spans="1:15" x14ac:dyDescent="0.25">
      <c r="A736" s="59">
        <v>45689</v>
      </c>
      <c r="B736" s="61"/>
      <c r="C736" s="61"/>
      <c r="D736" s="47">
        <v>37.020000000000003</v>
      </c>
      <c r="E736" s="78">
        <v>1.01E-2</v>
      </c>
      <c r="F736" s="67">
        <f>TabelaCalculo[[#This Row],[SELIC]]+F735</f>
        <v>4.2131999999999987</v>
      </c>
      <c r="G736" s="68">
        <f ca="1">IF(L735="","",G735+TabelaCalculo[[#This Row],[BACEN-SÉRIE 29543]])</f>
        <v>2.4309256499999989</v>
      </c>
      <c r="H736" s="46">
        <v>3.6</v>
      </c>
      <c r="I736" s="62">
        <v>97.610792000000004</v>
      </c>
      <c r="J736" s="62">
        <v>7.9671139999999996</v>
      </c>
      <c r="K736" s="62">
        <v>97.777381000000005</v>
      </c>
      <c r="L736" s="80">
        <v>9.8532199999999993E-3</v>
      </c>
      <c r="M736" s="91">
        <f ca="1">MAX(0,-1+ROUND((1+L735)/ROUND(OFFSET(A736,0,FORMULÁRIO!$E$10-1)/OFFSET(A735,0,FORMULÁRIO!$E$10-1),4),8))</f>
        <v>8.9914300000000225E-3</v>
      </c>
      <c r="N736" s="46"/>
      <c r="O736" s="78"/>
    </row>
    <row r="737" spans="1:15" x14ac:dyDescent="0.25">
      <c r="A737" s="59">
        <v>45717</v>
      </c>
      <c r="B737" s="61"/>
      <c r="C737" s="61"/>
      <c r="D737" s="47">
        <v>37.020000000000003</v>
      </c>
      <c r="E737" s="78">
        <v>9.9000000000000008E-3</v>
      </c>
      <c r="F737" s="67">
        <f>TabelaCalculo[[#This Row],[SELIC]]+F736</f>
        <v>4.2230999999999987</v>
      </c>
      <c r="G737" s="68">
        <f ca="1">IF(L736="","",G736+TabelaCalculo[[#This Row],[BACEN-SÉRIE 29543]])</f>
        <v>2.4309256499999989</v>
      </c>
      <c r="H737" s="46">
        <v>3.61</v>
      </c>
      <c r="I737" s="62">
        <v>99.055430999999999</v>
      </c>
      <c r="J737" s="62">
        <v>8.0651089999999996</v>
      </c>
      <c r="K737" s="62">
        <v>98.980041999999997</v>
      </c>
      <c r="L737" s="80">
        <v>9.6402956224821423E-3</v>
      </c>
      <c r="M737" s="91">
        <f ca="1">MAX(0,-1+ROUND((1+L736)/ROUND(OFFSET(A737,0,FORMULÁRIO!$E$10-1)/OFFSET(A736,0,FORMULÁRIO!$E$10-1),4),8))</f>
        <v>0</v>
      </c>
      <c r="N737" s="46"/>
      <c r="O737" s="78"/>
    </row>
    <row r="738" spans="1:15" x14ac:dyDescent="0.25">
      <c r="A738" s="59">
        <v>45748</v>
      </c>
      <c r="B738" s="62"/>
      <c r="C738" s="62"/>
      <c r="D738" s="45">
        <v>37.020000000000003</v>
      </c>
      <c r="E738" s="78">
        <v>9.5999999999999992E-3</v>
      </c>
      <c r="F738" s="67">
        <f>IF(E738="","",TabelaCalculo[[#This Row],[SELIC]]+F737)</f>
        <v>4.2326999999999986</v>
      </c>
      <c r="G738" s="68">
        <f ca="1">IF(L737="","",G737+TabelaCalculo[[#This Row],[BACEN-SÉRIE 29543]])</f>
        <v>2.4341453399999988</v>
      </c>
      <c r="H738" s="46">
        <v>3.62</v>
      </c>
      <c r="I738" s="62">
        <v>99.560613000000004</v>
      </c>
      <c r="J738" s="62">
        <v>8.1167250000000006</v>
      </c>
      <c r="K738" s="62">
        <v>99.613513999999995</v>
      </c>
      <c r="L738" s="80">
        <v>1.05588E-2</v>
      </c>
      <c r="M738" s="91">
        <f ca="1">MAX(0,-1+ROUND((1+L737)/ROUND(OFFSET(A738,0,FORMULÁRIO!$E$10-1)/OFFSET(A737,0,FORMULÁRIO!$E$10-1),4),8))</f>
        <v>3.2196900000001083E-3</v>
      </c>
      <c r="N738" s="46"/>
      <c r="O738" s="78"/>
    </row>
    <row r="739" spans="1:15" x14ac:dyDescent="0.25">
      <c r="A739" s="59">
        <v>45778</v>
      </c>
      <c r="B739" s="62"/>
      <c r="C739" s="62"/>
      <c r="D739" s="45">
        <v>37.020000000000003</v>
      </c>
      <c r="E739" s="78">
        <v>1.06E-2</v>
      </c>
      <c r="F739" s="67">
        <f>IF(E739="","",TabelaCalculo[[#This Row],[SELIC]]+F738)</f>
        <v>4.2432999999999987</v>
      </c>
      <c r="G739" s="68">
        <f ca="1">IF(L738="","",G738+TabelaCalculo[[#This Row],[BACEN-SÉRIE 29543]])</f>
        <v>2.4403773399999986</v>
      </c>
      <c r="H739" s="46">
        <v>3.63</v>
      </c>
      <c r="I739" s="62">
        <v>100.03850300000001</v>
      </c>
      <c r="J739" s="62">
        <v>8.1516260000000003</v>
      </c>
      <c r="K739" s="62">
        <v>100.04185200000001</v>
      </c>
      <c r="L739" s="80">
        <v>1.138776E-2</v>
      </c>
      <c r="M739" s="91">
        <f ca="1">MAX(0,-1+ROUND((1+L738)/ROUND(OFFSET(A739,0,FORMULÁRIO!$E$10-1)/OFFSET(A738,0,FORMULÁRIO!$E$10-1),4),8))</f>
        <v>6.2320000000000153E-3</v>
      </c>
      <c r="N739" s="46"/>
      <c r="O739" s="78"/>
    </row>
    <row r="740" spans="1:15" x14ac:dyDescent="0.25">
      <c r="A740" s="59">
        <v>45809</v>
      </c>
      <c r="B740" s="62"/>
      <c r="C740" s="62"/>
      <c r="D740" s="45">
        <v>37.020000000000003</v>
      </c>
      <c r="E740" s="78">
        <v>1.14E-2</v>
      </c>
      <c r="F740" s="67">
        <f>IF(E740="","",TabelaCalculo[[#This Row],[SELIC]]+F739)</f>
        <v>4.2546999999999988</v>
      </c>
      <c r="G740" s="68">
        <f ca="1">IF(L739="","",G739+TabelaCalculo[[#This Row],[BACEN-SÉRIE 29543]])</f>
        <v>2.4481371599999986</v>
      </c>
      <c r="H740" s="46">
        <v>3.64</v>
      </c>
      <c r="I740" s="62">
        <v>100.388637</v>
      </c>
      <c r="J740" s="62">
        <v>8.1809709999999995</v>
      </c>
      <c r="K740" s="62">
        <v>100.402002</v>
      </c>
      <c r="L740" s="80">
        <v>1.0970509999999999E-2</v>
      </c>
      <c r="M740" s="91">
        <f ca="1">MAX(0,-1+ROUND((1+L739)/ROUND(OFFSET(A740,0,FORMULÁRIO!$E$10-1)/OFFSET(A739,0,FORMULÁRIO!$E$10-1),4),8))</f>
        <v>7.7598199999999729E-3</v>
      </c>
      <c r="N740" s="46"/>
      <c r="O740" s="78"/>
    </row>
    <row r="741" spans="1:15" x14ac:dyDescent="0.25">
      <c r="A741" s="59">
        <v>45839</v>
      </c>
      <c r="B741" s="62"/>
      <c r="C741" s="62"/>
      <c r="D741" s="45">
        <v>37.020000000000003</v>
      </c>
      <c r="E741" s="78">
        <v>1.0999999999999999E-2</v>
      </c>
      <c r="F741" s="67">
        <f>IF(E741="","",TabelaCalculo[[#This Row],[SELIC]]+F740)</f>
        <v>4.2656999999999989</v>
      </c>
      <c r="G741" s="68">
        <f ca="1">IF(L740="","",G740+TabelaCalculo[[#This Row],[BACEN-SÉRIE 29543]])</f>
        <v>2.4564859599999984</v>
      </c>
      <c r="H741" s="46">
        <v>3.65</v>
      </c>
      <c r="I741" s="62">
        <v>100.61953</v>
      </c>
      <c r="J741" s="62">
        <v>8.2022410000000008</v>
      </c>
      <c r="K741" s="62">
        <v>100.66304700000001</v>
      </c>
      <c r="L741" s="80">
        <v>1.2757330000000001E-2</v>
      </c>
      <c r="M741" s="91">
        <f ca="1">MAX(0,-1+ROUND((1+L740)/ROUND(OFFSET(A741,0,FORMULÁRIO!$E$10-1)/OFFSET(A740,0,FORMULÁRIO!$E$10-1),4),8))</f>
        <v>8.3488000000000451E-3</v>
      </c>
      <c r="N741" s="46"/>
      <c r="O741" s="78"/>
    </row>
    <row r="742" spans="1:15" x14ac:dyDescent="0.25">
      <c r="A742" s="59">
        <v>45870</v>
      </c>
      <c r="B742" s="62"/>
      <c r="C742" s="62"/>
      <c r="D742" s="45">
        <v>37.020000000000003</v>
      </c>
      <c r="E742" s="78">
        <v>1.2800000000000001E-2</v>
      </c>
      <c r="F742" s="67">
        <f>IF(E742="","",TabelaCalculo[[#This Row],[SELIC]]+F741)</f>
        <v>4.2784999999999993</v>
      </c>
      <c r="G742" s="68">
        <f ca="1">IF(L741="","",G741+TabelaCalculo[[#This Row],[BACEN-SÉRIE 29543]])</f>
        <v>2.4659121799999983</v>
      </c>
      <c r="H742" s="46">
        <v>3.66</v>
      </c>
      <c r="I742" s="62">
        <v>100.830831</v>
      </c>
      <c r="J742" s="62">
        <v>8.2293079999999996</v>
      </c>
      <c r="K742" s="62">
        <v>100.99523499999999</v>
      </c>
      <c r="L742" s="80">
        <v>1.164156E-2</v>
      </c>
      <c r="M742" s="91">
        <f ca="1">MAX(0,-1+ROUND((1+L741)/ROUND(OFFSET(A742,0,FORMULÁRIO!$E$10-1)/OFFSET(A741,0,FORMULÁRIO!$E$10-1),4),8))</f>
        <v>9.4262199999999297E-3</v>
      </c>
      <c r="N742" s="46"/>
      <c r="O742" s="78"/>
    </row>
    <row r="743" spans="1:15" x14ac:dyDescent="0.25">
      <c r="A743" s="59">
        <v>45901</v>
      </c>
      <c r="B743" s="62"/>
      <c r="C743" s="62"/>
      <c r="D743" s="45">
        <v>37.020000000000003</v>
      </c>
      <c r="E743" s="78">
        <v>1.1599999999999999E-2</v>
      </c>
      <c r="F743" s="67">
        <f>IF(E743="","",TabelaCalculo[[#This Row],[SELIC]]+F742)</f>
        <v>4.2900999999999989</v>
      </c>
      <c r="G743" s="68">
        <f ca="1">IF(L742="","",G742+TabelaCalculo[[#This Row],[BACEN-SÉRIE 29543]])</f>
        <v>2.4789720199999983</v>
      </c>
      <c r="H743" s="46">
        <v>3.67</v>
      </c>
      <c r="I743" s="62">
        <v>100.619086</v>
      </c>
      <c r="J743" s="62">
        <v>8.2177860000000003</v>
      </c>
      <c r="K743" s="62">
        <v>100.853841</v>
      </c>
      <c r="L743" s="80">
        <v>1.219929E-2</v>
      </c>
      <c r="M743" s="91">
        <f ca="1">MAX(0,-1+ROUND((1+L742)/ROUND(OFFSET(A743,0,FORMULÁRIO!$E$10-1)/OFFSET(A742,0,FORMULÁRIO!$E$10-1),4),8))</f>
        <v>1.3059839999999934E-2</v>
      </c>
      <c r="N743" s="46"/>
      <c r="O743" s="78"/>
    </row>
    <row r="744" spans="1:15" x14ac:dyDescent="0.25">
      <c r="A744" s="59">
        <v>45931</v>
      </c>
      <c r="B744" s="61"/>
      <c r="C744" s="61"/>
      <c r="D744" s="47">
        <v>37.020000000000003</v>
      </c>
      <c r="E744" s="78">
        <v>1.2200000000000001E-2</v>
      </c>
      <c r="F744" s="67">
        <f>IF(E744="","",TabelaCalculo[[#This Row],[SELIC]]+F743)</f>
        <v>4.3022999999999989</v>
      </c>
      <c r="G744" s="68">
        <f ca="1">IF(L743="","",G743+TabelaCalculo[[#This Row],[BACEN-SÉRIE 29543]])</f>
        <v>2.4863359599999981</v>
      </c>
      <c r="H744" s="46">
        <v>3.68</v>
      </c>
      <c r="I744" s="62">
        <v>101.14230499999999</v>
      </c>
      <c r="J744" s="62">
        <v>8.2572310000000009</v>
      </c>
      <c r="K744" s="62">
        <v>101.33793900000001</v>
      </c>
      <c r="L744" s="80">
        <v>1.2757330000000001E-2</v>
      </c>
      <c r="M744" s="91">
        <f ca="1">MAX(0,-1+ROUND((1+L743)/ROUND(OFFSET(A744,0,FORMULÁRIO!$E$10-1)/OFFSET(A743,0,FORMULÁRIO!$E$10-1),4),8))</f>
        <v>7.3639400000000688E-3</v>
      </c>
      <c r="N744" s="46"/>
      <c r="O744" s="78"/>
    </row>
    <row r="745" spans="1:15" x14ac:dyDescent="0.25">
      <c r="A745" s="59">
        <v>45962</v>
      </c>
      <c r="B745" s="61"/>
      <c r="C745" s="61"/>
      <c r="D745" s="47">
        <v>37.020000000000003</v>
      </c>
      <c r="E745" s="78">
        <v>1.2800000000000001E-2</v>
      </c>
      <c r="F745" s="67">
        <f>IF(E745="","",TabelaCalculo[[#This Row],[SELIC]]+F744)</f>
        <v>4.3150999999999993</v>
      </c>
      <c r="G745" s="68">
        <f ca="1">IF(L744="","",G744+TabelaCalculo[[#This Row],[BACEN-SÉRIE 29543]])</f>
        <v>2.497273599999998</v>
      </c>
      <c r="H745" s="46">
        <v>3.69</v>
      </c>
      <c r="I745" s="62">
        <v>101.172647</v>
      </c>
      <c r="J745" s="62">
        <v>8.2720939999999992</v>
      </c>
      <c r="K745" s="62">
        <v>101.520347</v>
      </c>
      <c r="L745" s="80">
        <v>1.052703E-2</v>
      </c>
      <c r="M745" s="91">
        <f ca="1">MAX(0,-1+ROUND((1+L744)/ROUND(OFFSET(A745,0,FORMULÁRIO!$E$10-1)/OFFSET(A744,0,FORMULÁRIO!$E$10-1),4),8))</f>
        <v>1.0937640000000082E-2</v>
      </c>
      <c r="N745" s="46"/>
      <c r="O745" s="78"/>
    </row>
    <row r="746" spans="1:15" x14ac:dyDescent="0.25">
      <c r="A746" s="59">
        <v>45992</v>
      </c>
      <c r="B746" s="61"/>
      <c r="C746" s="61"/>
      <c r="D746" s="45">
        <v>37.020000000000003</v>
      </c>
      <c r="E746" s="78">
        <v>1.0500000000000001E-2</v>
      </c>
      <c r="F746" s="67">
        <f>IF(E746="","",TabelaCalculo[[#This Row],[SELIC]]+F745)</f>
        <v>4.3255999999999997</v>
      </c>
      <c r="G746" s="68">
        <f ca="1">IF(L745="","",G745+TabelaCalculo[[#This Row],[BACEN-SÉRIE 29543]])</f>
        <v>2.5057836099999982</v>
      </c>
      <c r="H746" s="46">
        <v>3.7</v>
      </c>
      <c r="I746" s="62">
        <v>101.20299799999999</v>
      </c>
      <c r="J746" s="62">
        <v>8.2886380000000006</v>
      </c>
      <c r="K746" s="62">
        <v>101.723387</v>
      </c>
      <c r="L746" s="80">
        <v>1.219929E-2</v>
      </c>
      <c r="M746" s="91">
        <f ca="1">MAX(0,-1+ROUND((1+L745)/ROUND(OFFSET(A746,0,FORMULÁRIO!$E$10-1)/OFFSET(A745,0,FORMULÁRIO!$E$10-1),4),8))</f>
        <v>8.5100099999999568E-3</v>
      </c>
      <c r="N746" s="46"/>
      <c r="O746" s="78"/>
    </row>
    <row r="747" spans="1:15" x14ac:dyDescent="0.25">
      <c r="A747" s="59">
        <v>46023</v>
      </c>
      <c r="B747" s="59"/>
      <c r="D747" s="45">
        <v>38.42</v>
      </c>
      <c r="E747" s="78">
        <v>1.2200000000000001E-2</v>
      </c>
      <c r="F747" s="45">
        <f>IF(E747="","",TabelaCalculo[[#This Row],[SELIC]]+F746)</f>
        <v>4.3377999999999997</v>
      </c>
      <c r="G747" s="68">
        <f ca="1">IF(L746="","",G746+TabelaCalculo[[#This Row],[BACEN-SÉRIE 29543]])</f>
        <v>2.5154587099999981</v>
      </c>
      <c r="H747" s="45">
        <v>3.71</v>
      </c>
      <c r="I747" s="45">
        <v>101.415524</v>
      </c>
      <c r="J747" s="45">
        <v>8.3093590000000006</v>
      </c>
      <c r="K747" s="45">
        <v>101.977695</v>
      </c>
      <c r="L747" s="80">
        <v>1.164156E-2</v>
      </c>
      <c r="M747" s="91">
        <f ca="1">MAX(0,-1+ROUND((1+L746)/ROUND(OFFSET(A747,0,FORMULÁRIO!$E$10-1)/OFFSET(A746,0,FORMULÁRIO!$E$10-1),4),8))</f>
        <v>9.6750999999999365E-3</v>
      </c>
      <c r="N747" s="46"/>
      <c r="O747" s="78"/>
    </row>
    <row r="748" spans="1:15" x14ac:dyDescent="0.25">
      <c r="A748" s="59">
        <v>46054</v>
      </c>
      <c r="B748" s="59"/>
      <c r="C748" s="45"/>
      <c r="D748" s="45">
        <v>38.42</v>
      </c>
      <c r="E748" s="78">
        <v>1.1599999999999999E-2</v>
      </c>
      <c r="F748" s="57">
        <f>IF(E748="","",TabelaCalculo[[#This Row],[SELIC]]+F747)</f>
        <v>4.3493999999999993</v>
      </c>
      <c r="G748" s="68">
        <f ca="1">IF(L747="","",G747+TabelaCalculo[[#This Row],[BACEN-SÉRIE 29543]])</f>
        <v>2.5250810299999982</v>
      </c>
      <c r="H748" s="46">
        <v>3.72</v>
      </c>
      <c r="I748" s="87">
        <v>101.811044</v>
      </c>
      <c r="J748" s="87">
        <v>8.325977</v>
      </c>
      <c r="K748" s="87">
        <v>102.18165</v>
      </c>
      <c r="L748" s="80">
        <v>9.9702200000000001E-3</v>
      </c>
      <c r="M748" s="91">
        <f ca="1">MAX(0,-1+ROUND((1+L747)/ROUND(OFFSET(A748,0,FORMULÁRIO!$E$10-1)/OFFSET(A747,0,FORMULÁRIO!$E$10-1),4),8))</f>
        <v>9.622320000000073E-3</v>
      </c>
      <c r="N748" s="46"/>
      <c r="O748" s="78"/>
    </row>
    <row r="749" spans="1:15" x14ac:dyDescent="0.25">
      <c r="A749" s="59">
        <v>46082</v>
      </c>
      <c r="B749" s="59"/>
      <c r="C749" s="45"/>
      <c r="D749" s="45">
        <v>38.42</v>
      </c>
      <c r="E749" s="78">
        <f>IF(L748="","",ROUND(L748,4))</f>
        <v>0.01</v>
      </c>
      <c r="F749" s="57">
        <f>IF(E749="","",TabelaCalculo[[#This Row],[SELIC]]+F748)</f>
        <v>4.3593999999999991</v>
      </c>
      <c r="G749" s="68">
        <f ca="1">IF(L748="","",G748+TabelaCalculo[[#This Row],[BACEN-SÉRIE 29543]])</f>
        <v>2.5266381699999982</v>
      </c>
      <c r="H749" s="46">
        <v>3.73</v>
      </c>
      <c r="I749" s="87">
        <v>102.381185</v>
      </c>
      <c r="J749" s="87">
        <v>8.3959150000000005</v>
      </c>
      <c r="K749" s="87">
        <v>103.039975</v>
      </c>
      <c r="L749" s="80">
        <v>1.2120540000000001E-2</v>
      </c>
      <c r="M749" s="91">
        <f ca="1">MAX(0,-1+ROUND((1+L748)/ROUND(OFFSET(A749,0,FORMULÁRIO!$E$10-1)/OFFSET(A748,0,FORMULÁRIO!$E$10-1),4),8))</f>
        <v>1.5571400000000679E-3</v>
      </c>
      <c r="N749" s="46"/>
      <c r="O749" s="78"/>
    </row>
    <row r="750" spans="1:15" x14ac:dyDescent="0.25">
      <c r="A750" s="59">
        <v>46113</v>
      </c>
      <c r="B750" s="59"/>
      <c r="C750" s="45"/>
      <c r="D750" s="45">
        <v>38.42</v>
      </c>
      <c r="E750" s="78">
        <f>IF(L749="","",ROUND(L749,4))</f>
        <v>1.21E-2</v>
      </c>
      <c r="F750" s="57">
        <f>IF(E750="","",TabelaCalculo[[#This Row],[SELIC]]+F749)</f>
        <v>4.3714999999999993</v>
      </c>
      <c r="G750" s="68">
        <f ca="1">IF(L749="","",G749+TabelaCalculo[[#This Row],[BACEN-SÉRIE 29543]])</f>
        <v>2.5343248899999979</v>
      </c>
      <c r="H750" s="46">
        <v>3.74</v>
      </c>
      <c r="I750" s="87">
        <v>103.312853</v>
      </c>
      <c r="J750" s="87">
        <v>8.4328570000000003</v>
      </c>
      <c r="K750" s="87">
        <v>103.49335000000001</v>
      </c>
      <c r="L750" s="80">
        <v>1.090058E-2</v>
      </c>
      <c r="M750" s="91">
        <f ca="1">MAX(0,-1+ROUND((1+L749)/ROUND(OFFSET(A750,0,FORMULÁRIO!$E$10-1)/OFFSET(A749,0,FORMULÁRIO!$E$10-1),4),8))</f>
        <v>7.6867199999999247E-3</v>
      </c>
      <c r="N750" s="46"/>
      <c r="O750" s="78"/>
    </row>
    <row r="751" spans="1:15" x14ac:dyDescent="0.25">
      <c r="A751" s="59">
        <v>46143</v>
      </c>
      <c r="B751" s="59"/>
      <c r="C751" s="45"/>
      <c r="D751" s="45">
        <v>38.42</v>
      </c>
      <c r="E751" s="78">
        <f>IF(L750="","",ROUND(L750,4))</f>
        <v>1.09E-2</v>
      </c>
      <c r="F751" s="57">
        <f>IF(E751="","",TabelaCalculo[[#This Row],[SELIC]]+F750)</f>
        <v>4.3823999999999996</v>
      </c>
      <c r="G751" s="68">
        <f ca="1">IF(L750="","",G750+TabelaCalculo[[#This Row],[BACEN-SÉRIE 29543]])</f>
        <v>2.536307819999998</v>
      </c>
      <c r="H751" s="46">
        <v>3.75</v>
      </c>
      <c r="I751" s="87">
        <v>104.149687</v>
      </c>
      <c r="J751" s="87">
        <v>8.5079089999999997</v>
      </c>
      <c r="K751" s="87">
        <v>104.41444</v>
      </c>
      <c r="L751" s="80">
        <v>1.073435E-2</v>
      </c>
      <c r="M751" s="91">
        <f ca="1">MAX(0,-1+ROUND((1+L750)/ROUND(OFFSET(A751,0,FORMULÁRIO!$E$10-1)/OFFSET(A750,0,FORMULÁRIO!$E$10-1),4),8))</f>
        <v>1.9829300000000494E-3</v>
      </c>
      <c r="N751" s="46"/>
      <c r="O751" s="78"/>
    </row>
    <row r="752" spans="1:15" x14ac:dyDescent="0.25">
      <c r="A752" s="59">
        <v>46174</v>
      </c>
      <c r="B752" s="59"/>
      <c r="C752" s="45"/>
      <c r="D752" s="45">
        <v>38.42</v>
      </c>
      <c r="E752" s="78">
        <f t="shared" ref="E752:E758" si="0">IF(L751="","",ROUND(L751,4))</f>
        <v>1.0699999999999999E-2</v>
      </c>
      <c r="F752" s="57">
        <f>IF(E752="","",TabelaCalculo[[#This Row],[SELIC]]+F751)</f>
        <v>4.3930999999999996</v>
      </c>
      <c r="G752" s="68">
        <f ca="1">IF(L751="","",G751+TabelaCalculo[[#This Row],[BACEN-SÉRIE 29543]])</f>
        <v>2.5408142299999978</v>
      </c>
      <c r="H752" s="46">
        <v>3.76</v>
      </c>
      <c r="I752" s="87">
        <v>104.82665900000001</v>
      </c>
      <c r="J752" s="87">
        <v>8.5606580000000001</v>
      </c>
      <c r="K752" s="87">
        <v>105.061809</v>
      </c>
      <c r="L752" s="80">
        <v>1.119504E-2</v>
      </c>
      <c r="M752" s="91">
        <f ca="1">MAX(0,-1+ROUND((1+L751)/ROUND(OFFSET(A752,0,FORMULÁRIO!$E$10-1)/OFFSET(A751,0,FORMULÁRIO!$E$10-1),4),8))</f>
        <v>4.5064100000000717E-3</v>
      </c>
      <c r="N752" s="46"/>
      <c r="O752" s="78"/>
    </row>
    <row r="753" spans="1:15" x14ac:dyDescent="0.25">
      <c r="A753" s="59">
        <v>46204</v>
      </c>
      <c r="B753" s="59"/>
      <c r="C753" s="45"/>
      <c r="D753" s="45">
        <v>38.42</v>
      </c>
      <c r="E753" s="78">
        <f t="shared" si="0"/>
        <v>1.12E-2</v>
      </c>
      <c r="F753" s="57">
        <f>IF(E753="","",TabelaCalculo[[#This Row],[SELIC]]+F752)</f>
        <v>4.4042999999999992</v>
      </c>
      <c r="G753" s="68">
        <f ca="1">IF(L752="","",G752+TabelaCalculo[[#This Row],[BACEN-SÉRIE 29543]])</f>
        <v>2.5478802999999979</v>
      </c>
      <c r="H753" s="46">
        <v>3.77</v>
      </c>
      <c r="I753" s="87">
        <v>104.973416</v>
      </c>
      <c r="J753" s="87">
        <v>8.5957559999999997</v>
      </c>
      <c r="K753" s="87">
        <v>105.49256200000001</v>
      </c>
      <c r="L753" s="80">
        <v>1.21522E-2</v>
      </c>
      <c r="M753" s="91">
        <f ca="1">MAX(0,-1+ROUND((1+L752)/ROUND(OFFSET(A753,0,FORMULÁRIO!$E$10-1)/OFFSET(A752,0,FORMULÁRIO!$E$10-1),4),8))</f>
        <v>7.0660700000000354E-3</v>
      </c>
      <c r="N753" s="46"/>
      <c r="O753" s="78"/>
    </row>
    <row r="754" spans="1:15" x14ac:dyDescent="0.25">
      <c r="A754" s="59">
        <v>46235</v>
      </c>
      <c r="B754" s="59"/>
      <c r="C754" s="45"/>
      <c r="D754" s="45">
        <v>38.42</v>
      </c>
      <c r="E754" s="78">
        <f t="shared" si="0"/>
        <v>1.2200000000000001E-2</v>
      </c>
      <c r="F754" s="57">
        <f>IF(E754="","",TabelaCalculo[[#This Row],[SELIC]]+F753)</f>
        <v>4.4164999999999992</v>
      </c>
      <c r="G754" s="68">
        <f ca="1">IF(L753="","",G753+TabelaCalculo[[#This Row],[BACEN-SÉRIE 29543]])</f>
        <v>2.5594255699999979</v>
      </c>
      <c r="H754" s="46">
        <v>3.78</v>
      </c>
      <c r="I754" s="87">
        <v>104.962918</v>
      </c>
      <c r="J754" s="87">
        <v>8.6009130000000003</v>
      </c>
      <c r="K754" s="87">
        <v>105.555857</v>
      </c>
      <c r="L754" s="80">
        <v>1.093123E-2</v>
      </c>
      <c r="M754" s="91">
        <f ca="1">MAX(0,-1+ROUND((1+L753)/ROUND(OFFSET(A754,0,FORMULÁRIO!$E$10-1)/OFFSET(A753,0,FORMULÁRIO!$E$10-1),4),8))</f>
        <v>1.1545270000000052E-2</v>
      </c>
      <c r="N754" s="46"/>
      <c r="O754" s="78"/>
    </row>
    <row r="755" spans="1:15" x14ac:dyDescent="0.25">
      <c r="A755" s="59">
        <v>46266</v>
      </c>
      <c r="B755" s="59"/>
      <c r="C755" s="45"/>
      <c r="D755" s="45">
        <v>38.42</v>
      </c>
      <c r="E755" s="78">
        <f t="shared" si="0"/>
        <v>1.09E-2</v>
      </c>
      <c r="F755" s="57">
        <f>IF(E755="","",TabelaCalculo[[#This Row],[SELIC]]+F754)</f>
        <v>4.4273999999999996</v>
      </c>
      <c r="G755" s="68">
        <f ca="1">IF(L754="","",G754+TabelaCalculo[[#This Row],[BACEN-SÉRIE 29543]])</f>
        <v>2.5744167599999979</v>
      </c>
      <c r="H755" s="46">
        <v>3.79</v>
      </c>
      <c r="I755" s="87">
        <v>104.627036</v>
      </c>
      <c r="J755" s="87">
        <v>8.5665089999999999</v>
      </c>
      <c r="K755" s="87">
        <v>105.133633</v>
      </c>
      <c r="L755" s="178">
        <v>1.081673E-2</v>
      </c>
      <c r="M755" s="91">
        <f ca="1">MAX(0,-1+ROUND((1+L754)/ROUND(OFFSET(A755,0,FORMULÁRIO!$E$10-1)/OFFSET(A754,0,FORMULÁRIO!$E$10-1),4),8))</f>
        <v>1.4991189999999932E-2</v>
      </c>
      <c r="N755" s="46"/>
      <c r="O755" s="78"/>
    </row>
    <row r="756" spans="1:15" x14ac:dyDescent="0.25">
      <c r="A756" s="59">
        <v>46296</v>
      </c>
      <c r="B756" s="59"/>
      <c r="C756" s="45"/>
      <c r="D756" s="45">
        <v>38.42</v>
      </c>
      <c r="E756" s="179">
        <f t="shared" si="0"/>
        <v>1.0800000000000001E-2</v>
      </c>
      <c r="F756" s="180">
        <f>IF(E756="","",TabelaCalculo[[#This Row],[SELIC]]+F755)</f>
        <v>4.4381999999999993</v>
      </c>
      <c r="G756" s="68">
        <f ca="1">IF(L755="","",G755+TabelaCalculo[[#This Row],[BACEN-SÉRIE 29543]])</f>
        <v>2.5782069599999979</v>
      </c>
      <c r="H756" s="181">
        <v>3.8</v>
      </c>
      <c r="I756" s="182">
        <v>105.484977</v>
      </c>
      <c r="J756" s="182">
        <v>8.626474</v>
      </c>
      <c r="K756" s="182">
        <v>105.869568</v>
      </c>
      <c r="L756" s="86"/>
      <c r="M756" s="91">
        <f ca="1">MAX(0,-1+ROUND((1+L755)/ROUND(OFFSET(A756,0,FORMULÁRIO!$E$10-1)/OFFSET(A755,0,FORMULÁRIO!$E$10-1),4),8))</f>
        <v>3.7902000000000768E-3</v>
      </c>
      <c r="N756" s="46"/>
      <c r="O756" s="78"/>
    </row>
    <row r="757" spans="1:15" x14ac:dyDescent="0.25">
      <c r="A757" s="59">
        <v>46327</v>
      </c>
      <c r="B757" s="59"/>
      <c r="D757" s="45">
        <v>38.42</v>
      </c>
      <c r="E757" s="78" t="str">
        <f t="shared" si="0"/>
        <v/>
      </c>
      <c r="F757" s="57" t="str">
        <f>IF(E757="","",TabelaCalculo[[#This Row],[SELIC]]+F756)</f>
        <v/>
      </c>
      <c r="G757" s="68" t="str">
        <f>IF(L756="","",G756+TabelaCalculo[[#This Row],[BACEN-SÉRIE 29543]])</f>
        <v/>
      </c>
      <c r="H757" s="46">
        <v>3.81</v>
      </c>
      <c r="I757" s="85"/>
      <c r="J757" s="85"/>
      <c r="K757" s="85"/>
      <c r="L757" s="86"/>
      <c r="M757" s="91" t="e">
        <f ca="1">MAX(0,-1+ROUND((1+L756)/ROUND(OFFSET(A757,0,FORMULÁRIO!$E$10-1)/OFFSET(A756,0,FORMULÁRIO!$E$10-1),4),8))</f>
        <v>#DIV/0!</v>
      </c>
      <c r="N757" s="46"/>
    </row>
    <row r="758" spans="1:15" x14ac:dyDescent="0.25">
      <c r="A758" s="59">
        <v>46357</v>
      </c>
      <c r="B758" s="59"/>
      <c r="D758" s="45">
        <v>38.42</v>
      </c>
      <c r="E758" s="78" t="str">
        <f t="shared" si="0"/>
        <v/>
      </c>
      <c r="F758" s="57" t="str">
        <f>IF(E758="","",TabelaCalculo[[#This Row],[SELIC]]+F757)</f>
        <v/>
      </c>
      <c r="G758" s="68" t="str">
        <f>IF(L757="","",G757+TabelaCalculo[[#This Row],[BACEN-SÉRIE 29543]])</f>
        <v/>
      </c>
      <c r="H758" s="46">
        <v>3.82</v>
      </c>
      <c r="I758" s="85"/>
      <c r="J758" s="85"/>
      <c r="K758" s="85"/>
      <c r="L758" s="86"/>
      <c r="M758" s="91" t="e">
        <f ca="1">MAX(0,-1+ROUND((1+L757)/ROUND(OFFSET(A758,0,FORMULÁRIO!$E$10-1)/OFFSET(A757,0,FORMULÁRIO!$E$10-1),4),8))</f>
        <v>#DIV/0!</v>
      </c>
      <c r="N758" s="46"/>
    </row>
    <row r="759" spans="1:15" x14ac:dyDescent="0.25">
      <c r="A759" s="59"/>
      <c r="B759" s="59"/>
      <c r="D759" s="45"/>
      <c r="E759" s="78"/>
      <c r="F759" s="57"/>
      <c r="G759" s="46"/>
      <c r="H759" s="46"/>
      <c r="I759" s="66"/>
      <c r="J759" s="66"/>
      <c r="K759" s="66"/>
      <c r="L759" s="80"/>
      <c r="M759" s="91"/>
      <c r="N759" s="46"/>
    </row>
    <row r="760" spans="1:15" x14ac:dyDescent="0.25">
      <c r="A760" s="59"/>
      <c r="B760" s="59"/>
      <c r="D760" s="45"/>
      <c r="E760" s="78"/>
      <c r="F760" s="57"/>
      <c r="G760" s="80"/>
      <c r="H760" s="46"/>
      <c r="I760" s="66"/>
      <c r="J760" s="66"/>
      <c r="K760" s="66"/>
      <c r="L760" s="80"/>
      <c r="M760" s="91"/>
      <c r="N760" s="46"/>
    </row>
    <row r="761" spans="1:15" x14ac:dyDescent="0.25">
      <c r="A761" s="59"/>
      <c r="B761" s="59"/>
      <c r="D761" s="45"/>
      <c r="E761" s="78"/>
      <c r="F761" s="57"/>
      <c r="G761" s="46"/>
      <c r="H761" s="46"/>
      <c r="I761" s="66"/>
      <c r="J761" s="66"/>
      <c r="K761" s="66"/>
      <c r="L761" s="80"/>
      <c r="M761" s="91"/>
      <c r="N761" s="46"/>
    </row>
    <row r="762" spans="1:15" x14ac:dyDescent="0.25">
      <c r="A762" s="59"/>
      <c r="B762" s="59"/>
      <c r="D762" s="45"/>
      <c r="E762" s="78"/>
      <c r="F762" s="57"/>
      <c r="G762" s="46"/>
      <c r="H762" s="46"/>
      <c r="I762" s="66"/>
      <c r="J762" s="66"/>
      <c r="K762" s="66"/>
      <c r="L762" s="80"/>
      <c r="M762" s="91"/>
      <c r="N762" s="46"/>
    </row>
    <row r="763" spans="1:15" x14ac:dyDescent="0.25">
      <c r="A763" s="59"/>
      <c r="B763" s="59"/>
      <c r="D763" s="45"/>
      <c r="E763" s="78"/>
      <c r="F763" s="57"/>
      <c r="G763" s="80"/>
      <c r="H763" s="46"/>
      <c r="I763" s="66"/>
      <c r="J763" s="66"/>
      <c r="K763" s="66"/>
      <c r="L763" s="80"/>
      <c r="M763" s="91"/>
      <c r="N763" s="46"/>
    </row>
    <row r="764" spans="1:15" x14ac:dyDescent="0.25">
      <c r="A764" s="59"/>
      <c r="B764" s="59"/>
      <c r="D764" s="45"/>
      <c r="E764" s="78"/>
      <c r="F764" s="57"/>
      <c r="G764" s="46"/>
      <c r="H764" s="46"/>
      <c r="I764" s="66"/>
      <c r="J764" s="66"/>
      <c r="K764" s="66"/>
      <c r="L764" s="80"/>
      <c r="M764" s="91"/>
      <c r="N764" s="46"/>
    </row>
    <row r="765" spans="1:15" x14ac:dyDescent="0.25">
      <c r="A765" s="59"/>
      <c r="B765" s="59"/>
      <c r="D765" s="45"/>
      <c r="E765" s="78"/>
      <c r="F765" s="57"/>
      <c r="G765" s="46"/>
      <c r="H765" s="46"/>
      <c r="I765" s="66"/>
      <c r="J765" s="66"/>
      <c r="K765" s="66"/>
      <c r="L765" s="80"/>
      <c r="M765" s="91"/>
      <c r="N765" s="46"/>
    </row>
    <row r="766" spans="1:15" x14ac:dyDescent="0.25">
      <c r="A766" s="59"/>
      <c r="B766" s="59"/>
      <c r="D766" s="45"/>
      <c r="E766" s="78"/>
      <c r="F766" s="57"/>
      <c r="G766" s="46"/>
      <c r="H766" s="46"/>
      <c r="I766" s="66"/>
      <c r="J766" s="66"/>
      <c r="K766" s="66"/>
      <c r="L766" s="80"/>
      <c r="M766" s="91"/>
      <c r="N766" s="46"/>
    </row>
    <row r="767" spans="1:15" x14ac:dyDescent="0.25">
      <c r="A767" s="59"/>
      <c r="B767" s="59"/>
      <c r="D767" s="45"/>
      <c r="E767" s="78"/>
      <c r="F767" s="57"/>
      <c r="G767" s="46"/>
      <c r="H767" s="46"/>
      <c r="I767" s="66"/>
      <c r="J767" s="66"/>
      <c r="K767" s="66"/>
      <c r="L767" s="80"/>
      <c r="M767" s="91"/>
      <c r="N767" s="46"/>
    </row>
    <row r="768" spans="1:15" x14ac:dyDescent="0.25">
      <c r="A768" s="59"/>
      <c r="B768" s="59"/>
      <c r="D768" s="45"/>
      <c r="E768" s="78"/>
      <c r="F768" s="57"/>
      <c r="G768" s="46"/>
      <c r="H768" s="46"/>
      <c r="I768" s="66"/>
      <c r="J768" s="66"/>
      <c r="K768" s="66"/>
      <c r="L768" s="80"/>
      <c r="M768" s="91"/>
      <c r="N768" s="46"/>
    </row>
    <row r="769" spans="1:14" x14ac:dyDescent="0.25">
      <c r="A769" s="59"/>
      <c r="B769" s="59"/>
      <c r="D769" s="45"/>
      <c r="E769" s="78"/>
      <c r="F769" s="57"/>
      <c r="G769" s="46"/>
      <c r="H769" s="46"/>
      <c r="I769" s="66"/>
      <c r="J769" s="66"/>
      <c r="K769" s="66"/>
      <c r="L769" s="80"/>
      <c r="M769" s="91"/>
      <c r="N769" s="46"/>
    </row>
    <row r="770" spans="1:14" x14ac:dyDescent="0.25">
      <c r="A770" s="59"/>
      <c r="B770" s="59"/>
      <c r="D770" s="45"/>
      <c r="E770" s="78"/>
      <c r="F770" s="57"/>
      <c r="G770" s="46"/>
      <c r="H770" s="46"/>
      <c r="I770" s="66"/>
      <c r="J770" s="66"/>
      <c r="K770" s="66"/>
      <c r="L770" s="80"/>
      <c r="M770" s="91"/>
      <c r="N770" s="46"/>
    </row>
    <row r="771" spans="1:14" x14ac:dyDescent="0.25">
      <c r="A771" s="59"/>
      <c r="B771" s="59"/>
      <c r="D771" s="45"/>
      <c r="E771" s="78"/>
      <c r="F771" s="57"/>
      <c r="G771" s="46"/>
      <c r="H771" s="46"/>
      <c r="I771" s="66"/>
      <c r="J771" s="66"/>
      <c r="K771" s="66"/>
      <c r="L771" s="80"/>
      <c r="M771" s="91"/>
      <c r="N771" s="46"/>
    </row>
    <row r="772" spans="1:14" x14ac:dyDescent="0.25">
      <c r="A772" s="59"/>
      <c r="B772" s="59"/>
      <c r="D772" s="45"/>
      <c r="E772" s="78"/>
      <c r="F772" s="57"/>
      <c r="G772" s="46"/>
      <c r="H772" s="46"/>
      <c r="I772" s="66"/>
      <c r="J772" s="66"/>
      <c r="K772" s="66"/>
      <c r="L772" s="80"/>
      <c r="M772" s="91"/>
      <c r="N772" s="46"/>
    </row>
    <row r="773" spans="1:14" x14ac:dyDescent="0.25">
      <c r="A773" s="59"/>
      <c r="B773" s="59"/>
      <c r="D773" s="45"/>
      <c r="E773" s="78"/>
      <c r="F773" s="57"/>
      <c r="G773" s="46"/>
      <c r="H773" s="46"/>
      <c r="I773" s="66"/>
      <c r="J773" s="66"/>
      <c r="K773" s="66"/>
      <c r="L773" s="80"/>
      <c r="M773" s="91"/>
      <c r="N773" s="46"/>
    </row>
    <row r="774" spans="1:14" x14ac:dyDescent="0.25">
      <c r="A774" s="59"/>
      <c r="B774" s="59"/>
      <c r="D774" s="45"/>
      <c r="E774" s="78"/>
      <c r="F774" s="57"/>
      <c r="G774" s="46"/>
      <c r="H774" s="46"/>
      <c r="I774" s="66"/>
      <c r="J774" s="66"/>
      <c r="K774" s="66"/>
      <c r="L774" s="80"/>
      <c r="M774" s="91"/>
      <c r="N774" s="46"/>
    </row>
    <row r="775" spans="1:14" x14ac:dyDescent="0.25">
      <c r="A775" s="59"/>
      <c r="B775" s="59"/>
      <c r="D775" s="45"/>
      <c r="E775" s="78"/>
      <c r="F775" s="57"/>
      <c r="G775" s="46"/>
      <c r="H775" s="46"/>
      <c r="I775" s="66"/>
      <c r="J775" s="66"/>
      <c r="K775" s="66"/>
      <c r="L775" s="80"/>
      <c r="M775" s="91"/>
      <c r="N775" s="46"/>
    </row>
    <row r="776" spans="1:14" x14ac:dyDescent="0.25">
      <c r="A776" s="59"/>
      <c r="B776" s="59"/>
      <c r="D776" s="45"/>
      <c r="E776" s="78"/>
      <c r="F776" s="57"/>
      <c r="G776" s="46"/>
      <c r="H776" s="46"/>
      <c r="I776" s="66"/>
      <c r="J776" s="66"/>
      <c r="K776" s="66"/>
      <c r="L776" s="80"/>
      <c r="M776" s="91"/>
      <c r="N776" s="46"/>
    </row>
    <row r="777" spans="1:14" x14ac:dyDescent="0.25">
      <c r="A777" s="59"/>
      <c r="B777" s="59"/>
      <c r="D777" s="45"/>
      <c r="E777" s="78"/>
      <c r="F777" s="57"/>
      <c r="G777" s="46"/>
      <c r="H777" s="46"/>
      <c r="I777" s="66"/>
      <c r="J777" s="66"/>
      <c r="K777" s="66"/>
      <c r="L777" s="80"/>
      <c r="M777" s="91"/>
      <c r="N777" s="46"/>
    </row>
    <row r="778" spans="1:14" x14ac:dyDescent="0.25">
      <c r="A778" s="59"/>
      <c r="B778" s="59"/>
      <c r="D778" s="45"/>
      <c r="E778" s="78"/>
      <c r="F778" s="57"/>
      <c r="G778" s="46"/>
      <c r="H778" s="46"/>
      <c r="I778" s="66"/>
      <c r="J778" s="66"/>
      <c r="K778" s="66"/>
      <c r="L778" s="80"/>
      <c r="M778" s="91"/>
      <c r="N778" s="46"/>
    </row>
    <row r="779" spans="1:14" x14ac:dyDescent="0.25">
      <c r="A779" s="59"/>
      <c r="B779" s="59"/>
      <c r="D779" s="45"/>
      <c r="E779" s="78"/>
      <c r="F779" s="57"/>
      <c r="G779" s="46"/>
      <c r="H779" s="46"/>
      <c r="I779" s="66"/>
      <c r="J779" s="66"/>
      <c r="K779" s="66"/>
      <c r="L779" s="80"/>
      <c r="M779" s="91"/>
      <c r="N779" s="46"/>
    </row>
    <row r="780" spans="1:14" x14ac:dyDescent="0.25">
      <c r="A780" s="59"/>
      <c r="B780" s="59"/>
      <c r="D780" s="45"/>
      <c r="E780" s="78"/>
      <c r="F780" s="57"/>
      <c r="G780" s="46"/>
      <c r="H780" s="46"/>
      <c r="I780" s="66"/>
      <c r="J780" s="66"/>
      <c r="K780" s="66"/>
      <c r="L780" s="80"/>
      <c r="M780" s="91"/>
      <c r="N780" s="46"/>
    </row>
    <row r="781" spans="1:14" x14ac:dyDescent="0.25">
      <c r="A781" s="59"/>
      <c r="B781" s="59"/>
      <c r="D781" s="45"/>
      <c r="E781" s="78"/>
      <c r="F781" s="57"/>
      <c r="G781" s="46"/>
      <c r="H781" s="46"/>
      <c r="I781" s="66"/>
      <c r="J781" s="66"/>
      <c r="K781" s="66"/>
      <c r="L781" s="80"/>
      <c r="M781" s="91"/>
      <c r="N781" s="46"/>
    </row>
    <row r="782" spans="1:14" x14ac:dyDescent="0.25">
      <c r="A782" s="59"/>
      <c r="B782" s="59"/>
      <c r="D782" s="45"/>
      <c r="E782" s="78"/>
      <c r="F782" s="57"/>
      <c r="G782" s="46"/>
      <c r="H782" s="46"/>
      <c r="I782" s="66"/>
      <c r="J782" s="66"/>
      <c r="K782" s="66"/>
      <c r="L782" s="80"/>
      <c r="M782" s="91"/>
      <c r="N782" s="46"/>
    </row>
    <row r="783" spans="1:14" x14ac:dyDescent="0.25">
      <c r="A783" s="59"/>
      <c r="B783" s="59"/>
      <c r="D783" s="45"/>
      <c r="E783" s="78"/>
      <c r="F783" s="57"/>
      <c r="G783" s="46"/>
      <c r="H783" s="46"/>
      <c r="I783" s="66"/>
      <c r="J783" s="66"/>
      <c r="K783" s="66"/>
      <c r="L783" s="80"/>
      <c r="M783" s="91"/>
      <c r="N783" s="46"/>
    </row>
    <row r="784" spans="1:14" x14ac:dyDescent="0.25">
      <c r="A784" s="59"/>
      <c r="B784" s="59"/>
      <c r="D784" s="45"/>
      <c r="E784" s="78"/>
      <c r="F784" s="57"/>
      <c r="G784" s="46"/>
      <c r="H784" s="46"/>
      <c r="I784" s="66"/>
      <c r="J784" s="66"/>
      <c r="K784" s="66"/>
      <c r="L784" s="80"/>
      <c r="M784" s="91"/>
      <c r="N784" s="46"/>
    </row>
    <row r="785" spans="1:14" x14ac:dyDescent="0.25">
      <c r="A785" s="59"/>
      <c r="B785" s="59"/>
      <c r="D785" s="45"/>
      <c r="E785" s="78"/>
      <c r="F785" s="57"/>
      <c r="G785" s="46"/>
      <c r="H785" s="46"/>
      <c r="I785" s="66"/>
      <c r="J785" s="66"/>
      <c r="K785" s="66"/>
      <c r="L785" s="80"/>
      <c r="M785" s="91"/>
      <c r="N785" s="46"/>
    </row>
    <row r="786" spans="1:14" x14ac:dyDescent="0.25">
      <c r="A786" s="59"/>
      <c r="B786" s="59"/>
      <c r="D786" s="45"/>
      <c r="E786" s="78"/>
      <c r="F786" s="57"/>
      <c r="G786" s="46"/>
      <c r="H786" s="46"/>
      <c r="I786" s="66"/>
      <c r="J786" s="66"/>
      <c r="K786" s="66"/>
      <c r="L786" s="80"/>
      <c r="M786" s="91"/>
      <c r="N786" s="46"/>
    </row>
    <row r="787" spans="1:14" x14ac:dyDescent="0.25">
      <c r="A787" s="59"/>
      <c r="B787" s="59"/>
      <c r="D787" s="45"/>
      <c r="E787" s="78"/>
      <c r="F787" s="57"/>
      <c r="G787" s="46"/>
      <c r="H787" s="46"/>
      <c r="I787" s="66"/>
      <c r="J787" s="66"/>
      <c r="K787" s="66"/>
      <c r="L787" s="80"/>
      <c r="M787" s="91"/>
      <c r="N787" s="46"/>
    </row>
    <row r="788" spans="1:14" x14ac:dyDescent="0.25">
      <c r="A788" s="59"/>
      <c r="B788" s="59"/>
      <c r="D788" s="45"/>
      <c r="E788" s="78"/>
      <c r="F788" s="57"/>
      <c r="G788" s="46"/>
      <c r="H788" s="46"/>
      <c r="I788" s="66"/>
      <c r="J788" s="66"/>
      <c r="K788" s="66"/>
      <c r="L788" s="80"/>
      <c r="M788" s="91"/>
      <c r="N788" s="46"/>
    </row>
    <row r="789" spans="1:14" x14ac:dyDescent="0.25">
      <c r="A789" s="59"/>
      <c r="B789" s="59"/>
      <c r="D789" s="45"/>
      <c r="E789" s="78"/>
      <c r="F789" s="57"/>
      <c r="G789" s="46"/>
      <c r="H789" s="46"/>
      <c r="I789" s="66"/>
      <c r="J789" s="66"/>
      <c r="K789" s="66"/>
      <c r="L789" s="80"/>
      <c r="M789" s="91"/>
      <c r="N789" s="46"/>
    </row>
    <row r="790" spans="1:14" x14ac:dyDescent="0.25">
      <c r="A790" s="59"/>
      <c r="B790" s="59"/>
      <c r="D790" s="45"/>
      <c r="E790" s="78"/>
      <c r="F790" s="57"/>
      <c r="G790" s="46"/>
      <c r="H790" s="46"/>
      <c r="I790" s="66"/>
      <c r="J790" s="66"/>
      <c r="K790" s="66"/>
      <c r="L790" s="80"/>
      <c r="M790" s="91"/>
      <c r="N790" s="46"/>
    </row>
    <row r="791" spans="1:14" x14ac:dyDescent="0.25">
      <c r="A791" s="59"/>
      <c r="B791" s="59"/>
      <c r="D791" s="45"/>
      <c r="E791" s="78"/>
      <c r="F791" s="57"/>
      <c r="G791" s="46"/>
      <c r="H791" s="46"/>
      <c r="I791" s="66"/>
      <c r="J791" s="66"/>
      <c r="K791" s="66"/>
      <c r="L791" s="80"/>
      <c r="M791" s="91"/>
      <c r="N791" s="46"/>
    </row>
    <row r="792" spans="1:14" x14ac:dyDescent="0.25">
      <c r="A792" s="59"/>
      <c r="B792" s="59"/>
      <c r="D792" s="45"/>
      <c r="E792" s="78"/>
      <c r="F792" s="57"/>
      <c r="G792" s="46"/>
      <c r="H792" s="46"/>
      <c r="I792" s="66"/>
      <c r="J792" s="66"/>
      <c r="K792" s="66"/>
      <c r="L792" s="80"/>
      <c r="M792" s="91"/>
      <c r="N792" s="46"/>
    </row>
    <row r="793" spans="1:14" x14ac:dyDescent="0.25">
      <c r="A793" s="59"/>
      <c r="B793" s="59"/>
      <c r="D793" s="45"/>
      <c r="E793" s="78"/>
      <c r="F793" s="57"/>
      <c r="G793" s="46"/>
      <c r="H793" s="46"/>
      <c r="I793" s="66"/>
      <c r="J793" s="66"/>
      <c r="K793" s="66"/>
      <c r="L793" s="80"/>
      <c r="M793" s="91"/>
      <c r="N793" s="46"/>
    </row>
    <row r="794" spans="1:14" x14ac:dyDescent="0.25">
      <c r="A794" s="59"/>
      <c r="B794" s="59"/>
      <c r="D794" s="45"/>
      <c r="E794" s="78"/>
      <c r="F794" s="57"/>
      <c r="G794" s="46"/>
      <c r="H794" s="46"/>
      <c r="I794" s="66"/>
      <c r="J794" s="66"/>
      <c r="K794" s="66"/>
      <c r="L794" s="80"/>
      <c r="M794" s="91"/>
      <c r="N794" s="46"/>
    </row>
    <row r="795" spans="1:14" x14ac:dyDescent="0.25">
      <c r="A795" s="59"/>
      <c r="B795" s="59"/>
      <c r="D795" s="45"/>
      <c r="E795" s="78"/>
      <c r="F795" s="57"/>
      <c r="G795" s="46"/>
      <c r="H795" s="46"/>
      <c r="I795" s="66"/>
      <c r="J795" s="66"/>
      <c r="K795" s="66"/>
      <c r="L795" s="80"/>
      <c r="M795" s="91"/>
      <c r="N795" s="46"/>
    </row>
    <row r="796" spans="1:14" x14ac:dyDescent="0.25">
      <c r="A796" s="59"/>
      <c r="B796" s="59"/>
      <c r="D796" s="45"/>
      <c r="E796" s="78"/>
      <c r="F796" s="57"/>
      <c r="G796" s="46"/>
      <c r="H796" s="46"/>
      <c r="I796" s="66"/>
      <c r="J796" s="66"/>
      <c r="K796" s="66"/>
      <c r="L796" s="80"/>
      <c r="M796" s="91"/>
      <c r="N796" s="46"/>
    </row>
    <row r="797" spans="1:14" x14ac:dyDescent="0.25">
      <c r="A797" s="59"/>
      <c r="B797" s="59"/>
      <c r="D797" s="45"/>
      <c r="E797" s="78"/>
      <c r="F797" s="57"/>
      <c r="G797" s="46"/>
      <c r="H797" s="46"/>
      <c r="I797" s="66"/>
      <c r="J797" s="66"/>
      <c r="K797" s="66"/>
      <c r="L797" s="80"/>
      <c r="M797" s="91"/>
      <c r="N797" s="46"/>
    </row>
    <row r="798" spans="1:14" x14ac:dyDescent="0.25">
      <c r="A798" s="59"/>
      <c r="B798" s="59"/>
      <c r="D798" s="45"/>
      <c r="E798" s="78"/>
      <c r="F798" s="57"/>
      <c r="G798" s="46"/>
      <c r="H798" s="46"/>
      <c r="I798" s="66"/>
      <c r="J798" s="66"/>
      <c r="K798" s="66"/>
      <c r="L798" s="80"/>
      <c r="M798" s="91"/>
      <c r="N798" s="46"/>
    </row>
    <row r="799" spans="1:14" x14ac:dyDescent="0.25">
      <c r="A799" s="59"/>
      <c r="B799" s="59"/>
      <c r="D799" s="45"/>
      <c r="E799" s="78"/>
      <c r="F799" s="57"/>
      <c r="G799" s="46"/>
      <c r="H799" s="46"/>
      <c r="I799" s="66"/>
      <c r="J799" s="66"/>
      <c r="K799" s="66"/>
      <c r="L799" s="80"/>
      <c r="M799" s="91"/>
      <c r="N799" s="46"/>
    </row>
    <row r="800" spans="1:14" x14ac:dyDescent="0.25">
      <c r="A800" s="59"/>
      <c r="B800" s="59"/>
      <c r="D800" s="45"/>
      <c r="E800" s="78"/>
      <c r="F800" s="57"/>
      <c r="G800" s="46"/>
      <c r="H800" s="46"/>
      <c r="I800" s="66"/>
      <c r="J800" s="66"/>
      <c r="K800" s="66"/>
      <c r="L800" s="80"/>
      <c r="M800" s="91"/>
      <c r="N800" s="46"/>
    </row>
    <row r="801" spans="1:14" x14ac:dyDescent="0.25">
      <c r="A801" s="59"/>
      <c r="B801" s="59"/>
      <c r="D801" s="45"/>
      <c r="E801" s="78"/>
      <c r="F801" s="57"/>
      <c r="G801" s="46"/>
      <c r="H801" s="46"/>
      <c r="I801" s="66"/>
      <c r="J801" s="66"/>
      <c r="K801" s="66"/>
      <c r="L801" s="80"/>
      <c r="M801" s="91"/>
      <c r="N801" s="46"/>
    </row>
    <row r="802" spans="1:14" x14ac:dyDescent="0.25">
      <c r="A802" s="59"/>
      <c r="B802" s="59"/>
      <c r="D802" s="45"/>
      <c r="E802" s="78"/>
      <c r="F802" s="57"/>
      <c r="G802" s="46"/>
      <c r="H802" s="46"/>
      <c r="I802" s="66"/>
      <c r="J802" s="66"/>
      <c r="K802" s="66"/>
      <c r="L802" s="80"/>
      <c r="M802" s="91"/>
      <c r="N802" s="46"/>
    </row>
    <row r="803" spans="1:14" x14ac:dyDescent="0.25">
      <c r="A803" s="59"/>
      <c r="B803" s="59"/>
      <c r="D803" s="45"/>
      <c r="E803" s="78"/>
      <c r="F803" s="57"/>
      <c r="G803" s="46"/>
      <c r="H803" s="46"/>
      <c r="I803" s="66"/>
      <c r="J803" s="66"/>
      <c r="K803" s="66"/>
      <c r="L803" s="80"/>
      <c r="M803" s="91"/>
      <c r="N803" s="46"/>
    </row>
    <row r="804" spans="1:14" x14ac:dyDescent="0.25">
      <c r="A804" s="59"/>
      <c r="B804" s="59"/>
      <c r="D804" s="45"/>
      <c r="E804" s="78"/>
      <c r="F804" s="57"/>
      <c r="G804" s="46"/>
      <c r="H804" s="46"/>
      <c r="I804" s="66"/>
      <c r="J804" s="66"/>
      <c r="K804" s="66"/>
      <c r="L804" s="80"/>
      <c r="M804" s="91"/>
      <c r="N804" s="46"/>
    </row>
    <row r="805" spans="1:14" x14ac:dyDescent="0.25">
      <c r="A805" s="59"/>
      <c r="B805" s="59"/>
      <c r="D805" s="45"/>
      <c r="E805" s="78"/>
      <c r="F805" s="57"/>
      <c r="G805" s="46"/>
      <c r="H805" s="46"/>
      <c r="I805" s="66"/>
      <c r="J805" s="66"/>
      <c r="K805" s="66"/>
      <c r="L805" s="80"/>
      <c r="M805" s="91"/>
      <c r="N805" s="46"/>
    </row>
    <row r="806" spans="1:14" x14ac:dyDescent="0.25">
      <c r="A806" s="59"/>
      <c r="B806" s="59"/>
      <c r="D806" s="45"/>
      <c r="E806" s="78"/>
      <c r="F806" s="57"/>
      <c r="G806" s="46"/>
      <c r="H806" s="46"/>
      <c r="I806" s="66"/>
      <c r="J806" s="66"/>
      <c r="K806" s="66"/>
      <c r="L806" s="80"/>
      <c r="M806" s="91"/>
      <c r="N806" s="46"/>
    </row>
    <row r="807" spans="1:14" x14ac:dyDescent="0.25">
      <c r="A807" s="59"/>
      <c r="B807" s="59"/>
      <c r="D807" s="45"/>
      <c r="E807" s="78"/>
      <c r="F807" s="57"/>
      <c r="G807" s="46"/>
      <c r="H807" s="46"/>
      <c r="I807" s="66"/>
      <c r="J807" s="66"/>
      <c r="K807" s="66"/>
      <c r="L807" s="80"/>
      <c r="M807" s="91"/>
      <c r="N807" s="46"/>
    </row>
    <row r="808" spans="1:14" x14ac:dyDescent="0.25">
      <c r="A808" s="59"/>
      <c r="B808" s="59"/>
      <c r="D808" s="45"/>
      <c r="E808" s="78"/>
      <c r="F808" s="57"/>
      <c r="G808" s="46"/>
      <c r="H808" s="46"/>
      <c r="I808" s="66"/>
      <c r="J808" s="66"/>
      <c r="K808" s="66"/>
      <c r="L808" s="80"/>
      <c r="M808" s="91"/>
      <c r="N808" s="46"/>
    </row>
    <row r="809" spans="1:14" x14ac:dyDescent="0.25">
      <c r="A809" s="59"/>
      <c r="B809" s="59"/>
      <c r="D809" s="45"/>
      <c r="E809" s="78"/>
      <c r="F809" s="57"/>
      <c r="G809" s="46"/>
      <c r="H809" s="46"/>
      <c r="I809" s="66"/>
      <c r="J809" s="66"/>
      <c r="K809" s="66"/>
      <c r="L809" s="80"/>
      <c r="M809" s="91"/>
      <c r="N809" s="46"/>
    </row>
    <row r="810" spans="1:14" x14ac:dyDescent="0.25">
      <c r="A810" s="59"/>
      <c r="B810" s="59"/>
      <c r="D810" s="45"/>
      <c r="E810" s="78"/>
      <c r="F810" s="57"/>
      <c r="G810" s="46"/>
      <c r="H810" s="46"/>
      <c r="I810" s="66"/>
      <c r="J810" s="66"/>
      <c r="K810" s="66"/>
      <c r="L810" s="80"/>
      <c r="M810" s="91"/>
      <c r="N810" s="46"/>
    </row>
    <row r="811" spans="1:14" x14ac:dyDescent="0.25">
      <c r="A811" s="59"/>
      <c r="B811" s="59"/>
      <c r="D811" s="45"/>
      <c r="E811" s="78"/>
      <c r="F811" s="57"/>
      <c r="G811" s="46"/>
      <c r="H811" s="46"/>
      <c r="I811" s="66"/>
      <c r="J811" s="66"/>
      <c r="K811" s="66"/>
      <c r="L811" s="80"/>
      <c r="M811" s="91"/>
      <c r="N811" s="46"/>
    </row>
    <row r="812" spans="1:14" x14ac:dyDescent="0.25">
      <c r="A812" s="59"/>
      <c r="B812" s="59"/>
      <c r="D812" s="45"/>
      <c r="E812" s="78"/>
      <c r="F812" s="57"/>
      <c r="G812" s="46"/>
      <c r="H812" s="46"/>
      <c r="I812" s="66"/>
      <c r="J812" s="66"/>
      <c r="K812" s="66"/>
      <c r="L812" s="80"/>
      <c r="M812" s="91"/>
      <c r="N812" s="46"/>
    </row>
    <row r="813" spans="1:14" x14ac:dyDescent="0.25">
      <c r="A813" s="59"/>
      <c r="B813" s="59"/>
      <c r="D813" s="45"/>
      <c r="E813" s="78"/>
      <c r="F813" s="57"/>
      <c r="G813" s="46"/>
      <c r="H813" s="46"/>
      <c r="I813" s="66"/>
      <c r="J813" s="66"/>
      <c r="K813" s="66"/>
      <c r="L813" s="80"/>
      <c r="M813" s="91"/>
      <c r="N813" s="46"/>
    </row>
    <row r="814" spans="1:14" x14ac:dyDescent="0.25">
      <c r="A814" s="59"/>
      <c r="B814" s="59"/>
      <c r="D814" s="45"/>
      <c r="E814" s="78"/>
      <c r="F814" s="57"/>
      <c r="G814" s="46"/>
      <c r="H814" s="46"/>
      <c r="I814" s="66"/>
      <c r="J814" s="66"/>
      <c r="K814" s="66"/>
      <c r="L814" s="80"/>
      <c r="M814" s="91"/>
      <c r="N814" s="46"/>
    </row>
    <row r="815" spans="1:14" x14ac:dyDescent="0.25">
      <c r="A815" s="59"/>
      <c r="B815" s="59"/>
      <c r="D815" s="45"/>
      <c r="E815" s="78"/>
      <c r="F815" s="57"/>
      <c r="G815" s="46"/>
      <c r="H815" s="46"/>
      <c r="I815" s="66"/>
      <c r="J815" s="66"/>
      <c r="K815" s="66"/>
      <c r="L815" s="80"/>
      <c r="M815" s="91"/>
      <c r="N815" s="46"/>
    </row>
    <row r="816" spans="1:14" x14ac:dyDescent="0.25">
      <c r="A816" s="59"/>
      <c r="B816" s="59"/>
      <c r="D816" s="45"/>
      <c r="E816" s="78"/>
      <c r="F816" s="57"/>
      <c r="G816" s="46"/>
      <c r="H816" s="46"/>
      <c r="I816" s="66"/>
      <c r="J816" s="66"/>
      <c r="K816" s="66"/>
      <c r="L816" s="80"/>
      <c r="M816" s="91"/>
      <c r="N816" s="46"/>
    </row>
    <row r="817" spans="1:14" x14ac:dyDescent="0.25">
      <c r="A817" s="59"/>
      <c r="B817" s="59"/>
      <c r="D817" s="45"/>
      <c r="E817" s="78"/>
      <c r="F817" s="57"/>
      <c r="G817" s="46"/>
      <c r="H817" s="46"/>
      <c r="I817" s="66"/>
      <c r="J817" s="66"/>
      <c r="K817" s="66"/>
      <c r="L817" s="80"/>
      <c r="M817" s="91"/>
      <c r="N817" s="46"/>
    </row>
    <row r="818" spans="1:14" x14ac:dyDescent="0.25">
      <c r="A818" s="59"/>
      <c r="B818" s="59"/>
      <c r="D818" s="45"/>
      <c r="E818" s="78"/>
      <c r="F818" s="57"/>
      <c r="G818" s="46"/>
      <c r="H818" s="46"/>
      <c r="I818" s="66"/>
      <c r="J818" s="66"/>
      <c r="K818" s="66"/>
      <c r="L818" s="80"/>
      <c r="M818" s="91"/>
      <c r="N818" s="46"/>
    </row>
    <row r="819" spans="1:14" x14ac:dyDescent="0.25">
      <c r="A819" s="59"/>
      <c r="B819" s="59"/>
      <c r="D819" s="45"/>
      <c r="E819" s="78"/>
      <c r="F819" s="57"/>
      <c r="G819" s="46"/>
      <c r="H819" s="46"/>
      <c r="I819" s="66"/>
      <c r="J819" s="66"/>
      <c r="K819" s="66"/>
      <c r="L819" s="80"/>
      <c r="M819" s="91"/>
      <c r="N819" s="46"/>
    </row>
    <row r="820" spans="1:14" x14ac:dyDescent="0.25">
      <c r="A820" s="59"/>
      <c r="B820" s="59"/>
      <c r="D820" s="45"/>
      <c r="E820" s="78"/>
      <c r="F820" s="57"/>
      <c r="G820" s="46"/>
      <c r="H820" s="46"/>
      <c r="I820" s="66"/>
      <c r="J820" s="66"/>
      <c r="K820" s="66"/>
      <c r="L820" s="80"/>
      <c r="M820" s="91"/>
      <c r="N820" s="46"/>
    </row>
    <row r="821" spans="1:14" x14ac:dyDescent="0.25">
      <c r="A821" s="59"/>
      <c r="B821" s="59"/>
      <c r="D821" s="45"/>
      <c r="E821" s="78"/>
      <c r="F821" s="57"/>
      <c r="G821" s="46"/>
      <c r="H821" s="46"/>
      <c r="I821" s="66"/>
      <c r="J821" s="66"/>
      <c r="K821" s="66"/>
      <c r="L821" s="80"/>
      <c r="M821" s="91"/>
      <c r="N821" s="46"/>
    </row>
    <row r="822" spans="1:14" x14ac:dyDescent="0.25">
      <c r="A822" s="59"/>
      <c r="B822" s="59"/>
      <c r="D822" s="45"/>
      <c r="E822" s="78"/>
      <c r="F822" s="57"/>
      <c r="G822" s="46"/>
      <c r="H822" s="46"/>
      <c r="I822" s="66"/>
      <c r="J822" s="66"/>
      <c r="K822" s="66"/>
      <c r="L822" s="80"/>
      <c r="M822" s="91"/>
      <c r="N822" s="46"/>
    </row>
    <row r="823" spans="1:14" x14ac:dyDescent="0.25">
      <c r="A823" s="59"/>
      <c r="B823" s="59"/>
      <c r="D823" s="45"/>
      <c r="E823" s="78"/>
      <c r="F823" s="57"/>
      <c r="G823" s="46"/>
      <c r="H823" s="46"/>
      <c r="I823" s="66"/>
      <c r="J823" s="66"/>
      <c r="K823" s="66"/>
      <c r="L823" s="80"/>
      <c r="M823" s="91"/>
      <c r="N823" s="46"/>
    </row>
    <row r="824" spans="1:14" x14ac:dyDescent="0.25">
      <c r="A824" s="59"/>
      <c r="B824" s="59"/>
      <c r="D824" s="45"/>
      <c r="E824" s="78"/>
      <c r="F824" s="57"/>
      <c r="G824" s="46"/>
      <c r="H824" s="46"/>
      <c r="I824" s="66"/>
      <c r="J824" s="66"/>
      <c r="K824" s="66"/>
      <c r="L824" s="80"/>
      <c r="M824" s="91"/>
      <c r="N824" s="46"/>
    </row>
    <row r="825" spans="1:14" x14ac:dyDescent="0.25">
      <c r="A825" s="59"/>
      <c r="B825" s="59"/>
      <c r="D825" s="45"/>
      <c r="E825" s="78"/>
      <c r="F825" s="57"/>
      <c r="G825" s="46"/>
      <c r="H825" s="46"/>
      <c r="I825" s="66"/>
      <c r="J825" s="66"/>
      <c r="K825" s="66"/>
      <c r="L825" s="80"/>
      <c r="M825" s="91"/>
      <c r="N825" s="46"/>
    </row>
    <row r="826" spans="1:14" x14ac:dyDescent="0.25">
      <c r="A826" s="59"/>
      <c r="B826" s="59"/>
      <c r="D826" s="45"/>
      <c r="E826" s="78"/>
      <c r="F826" s="57"/>
      <c r="G826" s="46"/>
      <c r="H826" s="46"/>
      <c r="I826" s="66"/>
      <c r="J826" s="66"/>
      <c r="K826" s="66"/>
      <c r="L826" s="80"/>
      <c r="M826" s="91"/>
      <c r="N826" s="46"/>
    </row>
    <row r="827" spans="1:14" x14ac:dyDescent="0.25">
      <c r="A827" s="59"/>
      <c r="B827" s="59"/>
      <c r="D827" s="45"/>
      <c r="E827" s="78"/>
      <c r="F827" s="57"/>
      <c r="G827" s="46"/>
      <c r="H827" s="46"/>
      <c r="I827" s="66"/>
      <c r="J827" s="66"/>
      <c r="K827" s="66"/>
      <c r="L827" s="80"/>
      <c r="M827" s="91"/>
      <c r="N827" s="46"/>
    </row>
    <row r="828" spans="1:14" x14ac:dyDescent="0.25">
      <c r="A828" s="59"/>
      <c r="B828" s="59"/>
      <c r="D828" s="45"/>
      <c r="E828" s="78"/>
      <c r="F828" s="57"/>
      <c r="G828" s="46"/>
      <c r="H828" s="46"/>
      <c r="I828" s="66"/>
      <c r="J828" s="66"/>
      <c r="K828" s="66"/>
      <c r="L828" s="80"/>
      <c r="M828" s="91"/>
      <c r="N828" s="46"/>
    </row>
    <row r="829" spans="1:14" x14ac:dyDescent="0.25">
      <c r="A829" s="59"/>
      <c r="B829" s="59"/>
      <c r="D829" s="45"/>
      <c r="E829" s="78"/>
      <c r="F829" s="57"/>
      <c r="G829" s="46"/>
      <c r="H829" s="46"/>
      <c r="I829" s="66"/>
      <c r="J829" s="66"/>
      <c r="K829" s="66"/>
      <c r="L829" s="80"/>
      <c r="M829" s="91"/>
      <c r="N829" s="46"/>
    </row>
    <row r="830" spans="1:14" x14ac:dyDescent="0.25">
      <c r="A830" s="59"/>
      <c r="B830" s="59"/>
      <c r="D830" s="45"/>
      <c r="E830" s="78"/>
      <c r="F830" s="57"/>
      <c r="G830" s="46"/>
      <c r="H830" s="46"/>
      <c r="I830" s="66"/>
      <c r="J830" s="66"/>
      <c r="K830" s="66"/>
      <c r="L830" s="80"/>
      <c r="M830" s="91"/>
      <c r="N830" s="46"/>
    </row>
    <row r="831" spans="1:14" x14ac:dyDescent="0.25">
      <c r="A831" s="59"/>
      <c r="B831" s="59"/>
      <c r="D831" s="45"/>
      <c r="E831" s="78"/>
      <c r="F831" s="57"/>
      <c r="G831" s="46"/>
      <c r="H831" s="46"/>
      <c r="I831" s="66"/>
      <c r="J831" s="66"/>
      <c r="K831" s="66"/>
      <c r="L831" s="80"/>
      <c r="M831" s="91"/>
      <c r="N831" s="46"/>
    </row>
    <row r="832" spans="1:14" x14ac:dyDescent="0.25">
      <c r="A832" s="59"/>
      <c r="B832" s="59"/>
      <c r="D832" s="45"/>
      <c r="E832" s="78"/>
      <c r="F832" s="57"/>
      <c r="G832" s="46"/>
      <c r="H832" s="46"/>
      <c r="I832" s="66"/>
      <c r="J832" s="66"/>
      <c r="K832" s="66"/>
      <c r="L832" s="80"/>
      <c r="M832" s="91"/>
      <c r="N832" s="46"/>
    </row>
    <row r="833" spans="1:14" x14ac:dyDescent="0.25">
      <c r="A833" s="59"/>
      <c r="B833" s="59"/>
      <c r="D833" s="45"/>
      <c r="E833" s="78"/>
      <c r="F833" s="57"/>
      <c r="G833" s="46"/>
      <c r="H833" s="46"/>
      <c r="I833" s="66"/>
      <c r="J833" s="66"/>
      <c r="K833" s="66"/>
      <c r="L833" s="80"/>
      <c r="M833" s="91"/>
      <c r="N833" s="46"/>
    </row>
    <row r="834" spans="1:14" x14ac:dyDescent="0.25">
      <c r="A834" s="59"/>
      <c r="B834" s="59"/>
      <c r="D834" s="45"/>
      <c r="E834" s="78"/>
      <c r="F834" s="57"/>
      <c r="G834" s="46"/>
      <c r="H834" s="46"/>
      <c r="I834" s="66"/>
      <c r="J834" s="66"/>
      <c r="K834" s="66"/>
      <c r="L834" s="80"/>
      <c r="M834" s="91"/>
      <c r="N834" s="46"/>
    </row>
    <row r="835" spans="1:14" x14ac:dyDescent="0.25">
      <c r="A835" s="59"/>
      <c r="B835" s="59"/>
      <c r="D835" s="45"/>
      <c r="E835" s="78"/>
      <c r="F835" s="57"/>
      <c r="G835" s="46"/>
      <c r="H835" s="46"/>
      <c r="I835" s="66"/>
      <c r="J835" s="66"/>
      <c r="K835" s="66"/>
      <c r="L835" s="80"/>
      <c r="M835" s="91"/>
      <c r="N835" s="46"/>
    </row>
    <row r="836" spans="1:14" x14ac:dyDescent="0.25">
      <c r="A836" s="59"/>
      <c r="B836" s="59"/>
      <c r="D836" s="45"/>
      <c r="E836" s="78"/>
      <c r="F836" s="57"/>
      <c r="G836" s="46"/>
      <c r="H836" s="46"/>
      <c r="I836" s="66"/>
      <c r="J836" s="66"/>
      <c r="K836" s="66"/>
      <c r="L836" s="80"/>
      <c r="M836" s="91"/>
      <c r="N836" s="46"/>
    </row>
    <row r="837" spans="1:14" x14ac:dyDescent="0.25">
      <c r="A837" s="59"/>
      <c r="B837" s="59"/>
      <c r="D837" s="45"/>
      <c r="E837" s="78"/>
      <c r="F837" s="57"/>
      <c r="G837" s="46"/>
      <c r="H837" s="46"/>
      <c r="I837" s="66"/>
      <c r="J837" s="66"/>
      <c r="K837" s="66"/>
      <c r="L837" s="80"/>
      <c r="M837" s="91"/>
      <c r="N837" s="46"/>
    </row>
    <row r="838" spans="1:14" x14ac:dyDescent="0.25">
      <c r="A838" s="59"/>
      <c r="B838" s="59"/>
      <c r="D838" s="45"/>
      <c r="E838" s="78"/>
      <c r="F838" s="57"/>
      <c r="G838" s="46"/>
      <c r="H838" s="46"/>
      <c r="I838" s="66"/>
      <c r="J838" s="66"/>
      <c r="K838" s="66"/>
      <c r="L838" s="80"/>
      <c r="M838" s="91"/>
      <c r="N838" s="46"/>
    </row>
    <row r="839" spans="1:14" x14ac:dyDescent="0.25">
      <c r="A839" s="59"/>
      <c r="B839" s="59"/>
      <c r="D839" s="45"/>
      <c r="E839" s="78"/>
      <c r="F839" s="57"/>
      <c r="G839" s="46"/>
      <c r="H839" s="46"/>
      <c r="I839" s="66"/>
      <c r="J839" s="66"/>
      <c r="K839" s="66"/>
      <c r="L839" s="80"/>
      <c r="M839" s="91"/>
      <c r="N839" s="46"/>
    </row>
    <row r="840" spans="1:14" x14ac:dyDescent="0.25">
      <c r="A840" s="59"/>
      <c r="B840" s="59"/>
      <c r="D840" s="45"/>
      <c r="E840" s="78"/>
      <c r="F840" s="57"/>
      <c r="G840" s="46"/>
      <c r="H840" s="46"/>
      <c r="I840" s="66"/>
      <c r="J840" s="66"/>
      <c r="K840" s="66"/>
      <c r="L840" s="80"/>
      <c r="M840" s="91"/>
      <c r="N840" s="46"/>
    </row>
    <row r="841" spans="1:14" x14ac:dyDescent="0.25">
      <c r="A841" s="59"/>
      <c r="B841" s="59"/>
      <c r="D841" s="45"/>
      <c r="E841" s="78"/>
      <c r="F841" s="57"/>
      <c r="G841" s="46"/>
      <c r="H841" s="46"/>
      <c r="I841" s="66"/>
      <c r="J841" s="66"/>
      <c r="K841" s="66"/>
      <c r="L841" s="80"/>
      <c r="M841" s="91"/>
      <c r="N841" s="46"/>
    </row>
    <row r="842" spans="1:14" x14ac:dyDescent="0.25">
      <c r="A842" s="59"/>
      <c r="B842" s="59"/>
      <c r="D842" s="45"/>
      <c r="E842" s="78"/>
      <c r="F842" s="57"/>
      <c r="G842" s="46"/>
      <c r="H842" s="46"/>
      <c r="I842" s="66"/>
      <c r="J842" s="66"/>
      <c r="K842" s="66"/>
      <c r="L842" s="80"/>
      <c r="M842" s="91"/>
      <c r="N842" s="46"/>
    </row>
    <row r="843" spans="1:14" x14ac:dyDescent="0.25">
      <c r="A843" s="59"/>
      <c r="B843" s="59"/>
      <c r="D843" s="45"/>
      <c r="E843" s="78"/>
      <c r="F843" s="57"/>
      <c r="G843" s="46"/>
      <c r="H843" s="46"/>
      <c r="I843" s="66"/>
      <c r="J843" s="66"/>
      <c r="K843" s="66"/>
      <c r="L843" s="80"/>
      <c r="M843" s="91"/>
      <c r="N843" s="46"/>
    </row>
    <row r="844" spans="1:14" x14ac:dyDescent="0.25">
      <c r="A844" s="59"/>
      <c r="B844" s="59"/>
      <c r="D844" s="45"/>
      <c r="E844" s="78"/>
      <c r="F844" s="57"/>
      <c r="G844" s="46"/>
      <c r="H844" s="46"/>
      <c r="I844" s="66"/>
      <c r="J844" s="66"/>
      <c r="K844" s="66"/>
      <c r="L844" s="80"/>
      <c r="M844" s="91"/>
      <c r="N844" s="46"/>
    </row>
    <row r="845" spans="1:14" x14ac:dyDescent="0.25">
      <c r="A845" s="59"/>
      <c r="B845" s="59"/>
      <c r="D845" s="45"/>
      <c r="E845" s="78"/>
      <c r="F845" s="57"/>
      <c r="G845" s="46"/>
      <c r="H845" s="46"/>
      <c r="I845" s="66"/>
      <c r="J845" s="66"/>
      <c r="K845" s="66"/>
      <c r="L845" s="80"/>
      <c r="M845" s="91"/>
      <c r="N845" s="46"/>
    </row>
    <row r="846" spans="1:14" x14ac:dyDescent="0.25">
      <c r="A846" s="59"/>
      <c r="B846" s="59"/>
      <c r="D846" s="45"/>
      <c r="E846" s="78"/>
      <c r="F846" s="57"/>
      <c r="G846" s="46"/>
      <c r="H846" s="46"/>
      <c r="I846" s="66"/>
      <c r="J846" s="66"/>
      <c r="K846" s="66"/>
      <c r="L846" s="80"/>
      <c r="M846" s="91"/>
      <c r="N846" s="46"/>
    </row>
    <row r="847" spans="1:14" x14ac:dyDescent="0.25">
      <c r="A847" s="59"/>
      <c r="B847" s="59"/>
      <c r="D847" s="45"/>
      <c r="E847" s="78"/>
      <c r="F847" s="57"/>
      <c r="G847" s="46"/>
      <c r="H847" s="46"/>
      <c r="I847" s="66"/>
      <c r="J847" s="66"/>
      <c r="K847" s="66"/>
      <c r="L847" s="80"/>
      <c r="M847" s="91"/>
      <c r="N847" s="46"/>
    </row>
    <row r="848" spans="1:14" x14ac:dyDescent="0.25">
      <c r="A848" s="59"/>
      <c r="B848" s="59"/>
      <c r="D848" s="45"/>
      <c r="E848" s="78"/>
      <c r="F848" s="57"/>
      <c r="G848" s="46"/>
      <c r="H848" s="46"/>
      <c r="I848" s="66"/>
      <c r="J848" s="66"/>
      <c r="K848" s="66"/>
      <c r="L848" s="80"/>
      <c r="M848" s="91"/>
      <c r="N848" s="46"/>
    </row>
    <row r="849" spans="1:14" x14ac:dyDescent="0.25">
      <c r="A849" s="59"/>
      <c r="B849" s="59"/>
      <c r="D849" s="45"/>
      <c r="E849" s="78"/>
      <c r="F849" s="57"/>
      <c r="G849" s="46"/>
      <c r="H849" s="46"/>
      <c r="I849" s="66"/>
      <c r="J849" s="66"/>
      <c r="K849" s="66"/>
      <c r="L849" s="80"/>
      <c r="M849" s="91"/>
      <c r="N849" s="46"/>
    </row>
    <row r="850" spans="1:14" x14ac:dyDescent="0.25">
      <c r="A850" s="59"/>
      <c r="B850" s="59"/>
      <c r="D850" s="45"/>
      <c r="E850" s="78"/>
      <c r="F850" s="57"/>
      <c r="G850" s="46"/>
      <c r="H850" s="46"/>
      <c r="I850" s="66"/>
      <c r="J850" s="66"/>
      <c r="K850" s="66"/>
      <c r="L850" s="80"/>
      <c r="M850" s="91"/>
      <c r="N850" s="46"/>
    </row>
    <row r="851" spans="1:14" x14ac:dyDescent="0.25">
      <c r="A851" s="59"/>
      <c r="B851" s="59"/>
      <c r="D851" s="45"/>
      <c r="E851" s="78"/>
      <c r="F851" s="57"/>
      <c r="G851" s="46"/>
      <c r="H851" s="46"/>
      <c r="I851" s="66"/>
      <c r="J851" s="66"/>
      <c r="K851" s="66"/>
      <c r="L851" s="80"/>
      <c r="M851" s="91"/>
      <c r="N851" s="46"/>
    </row>
    <row r="852" spans="1:14" x14ac:dyDescent="0.25">
      <c r="A852" s="59"/>
      <c r="B852" s="59"/>
      <c r="D852" s="45"/>
      <c r="E852" s="78"/>
      <c r="F852" s="57"/>
      <c r="G852" s="46"/>
      <c r="H852" s="46"/>
      <c r="I852" s="66"/>
      <c r="J852" s="66"/>
      <c r="K852" s="66"/>
      <c r="L852" s="80"/>
      <c r="M852" s="91"/>
      <c r="N852" s="46"/>
    </row>
    <row r="853" spans="1:14" x14ac:dyDescent="0.25">
      <c r="A853" s="59"/>
      <c r="B853" s="59"/>
      <c r="D853" s="45"/>
      <c r="E853" s="78"/>
      <c r="F853" s="57"/>
      <c r="G853" s="46"/>
      <c r="H853" s="46"/>
      <c r="I853" s="66"/>
      <c r="J853" s="66"/>
      <c r="K853" s="66"/>
      <c r="L853" s="80"/>
      <c r="M853" s="91"/>
      <c r="N853" s="46"/>
    </row>
    <row r="854" spans="1:14" x14ac:dyDescent="0.25">
      <c r="A854" s="59"/>
      <c r="B854" s="59"/>
      <c r="D854" s="45"/>
      <c r="E854" s="78"/>
      <c r="F854" s="57"/>
      <c r="G854" s="46"/>
      <c r="H854" s="46"/>
      <c r="I854" s="66"/>
      <c r="J854" s="66"/>
      <c r="K854" s="66"/>
      <c r="L854" s="80"/>
      <c r="M854" s="91"/>
      <c r="N854" s="46"/>
    </row>
    <row r="855" spans="1:14" x14ac:dyDescent="0.25">
      <c r="A855" s="59"/>
      <c r="B855" s="59"/>
      <c r="D855" s="45"/>
      <c r="E855" s="78"/>
      <c r="F855" s="57"/>
      <c r="G855" s="46"/>
      <c r="H855" s="46"/>
      <c r="I855" s="66"/>
      <c r="J855" s="66"/>
      <c r="K855" s="66"/>
      <c r="L855" s="80"/>
      <c r="M855" s="91"/>
      <c r="N855" s="46"/>
    </row>
    <row r="856" spans="1:14" x14ac:dyDescent="0.25">
      <c r="A856" s="59"/>
      <c r="B856" s="59"/>
      <c r="D856" s="45"/>
      <c r="E856" s="78"/>
      <c r="F856" s="57"/>
      <c r="G856" s="46"/>
      <c r="H856" s="46"/>
      <c r="I856" s="66"/>
      <c r="J856" s="66"/>
      <c r="K856" s="66"/>
      <c r="L856" s="80"/>
      <c r="M856" s="91"/>
      <c r="N856" s="46"/>
    </row>
    <row r="857" spans="1:14" x14ac:dyDescent="0.25">
      <c r="A857" s="59"/>
      <c r="B857" s="59"/>
      <c r="D857" s="45"/>
      <c r="E857" s="78"/>
      <c r="F857" s="57"/>
      <c r="G857" s="46"/>
      <c r="H857" s="46"/>
      <c r="I857" s="66"/>
      <c r="J857" s="66"/>
      <c r="K857" s="66"/>
      <c r="L857" s="80"/>
      <c r="M857" s="91"/>
      <c r="N857" s="46"/>
    </row>
    <row r="858" spans="1:14" x14ac:dyDescent="0.25">
      <c r="A858" s="59"/>
      <c r="B858" s="59"/>
      <c r="D858" s="45"/>
      <c r="E858" s="78"/>
      <c r="F858" s="57"/>
      <c r="G858" s="46"/>
      <c r="H858" s="46"/>
      <c r="I858" s="66"/>
      <c r="J858" s="66"/>
      <c r="K858" s="66"/>
      <c r="L858" s="80"/>
      <c r="M858" s="91"/>
      <c r="N858" s="46"/>
    </row>
    <row r="859" spans="1:14" x14ac:dyDescent="0.25">
      <c r="A859" s="59"/>
      <c r="B859" s="59"/>
      <c r="D859" s="45"/>
      <c r="E859" s="78"/>
      <c r="F859" s="57"/>
      <c r="G859" s="46"/>
      <c r="H859" s="46"/>
      <c r="I859" s="66"/>
      <c r="J859" s="66"/>
      <c r="K859" s="66"/>
      <c r="L859" s="80"/>
      <c r="M859" s="91"/>
      <c r="N859" s="46"/>
    </row>
    <row r="860" spans="1:14" x14ac:dyDescent="0.25">
      <c r="A860" s="59"/>
      <c r="B860" s="59"/>
      <c r="D860" s="45"/>
      <c r="E860" s="78"/>
      <c r="F860" s="57"/>
      <c r="G860" s="46"/>
      <c r="H860" s="46"/>
      <c r="I860" s="66"/>
      <c r="J860" s="66"/>
      <c r="K860" s="66"/>
      <c r="L860" s="80"/>
      <c r="M860" s="91"/>
      <c r="N860" s="46"/>
    </row>
    <row r="861" spans="1:14" x14ac:dyDescent="0.25">
      <c r="A861" s="59"/>
      <c r="B861" s="59"/>
      <c r="D861" s="45"/>
      <c r="E861" s="78"/>
      <c r="F861" s="57"/>
      <c r="G861" s="46"/>
      <c r="H861" s="46"/>
      <c r="I861" s="66"/>
      <c r="J861" s="66"/>
      <c r="K861" s="66"/>
      <c r="L861" s="80"/>
      <c r="M861" s="91"/>
      <c r="N861" s="46"/>
    </row>
    <row r="862" spans="1:14" x14ac:dyDescent="0.25">
      <c r="A862" s="59"/>
      <c r="B862" s="59"/>
      <c r="D862" s="45"/>
      <c r="E862" s="78"/>
      <c r="F862" s="57"/>
      <c r="G862" s="46"/>
      <c r="H862" s="46"/>
      <c r="I862" s="66"/>
      <c r="J862" s="66"/>
      <c r="K862" s="66"/>
      <c r="L862" s="80"/>
      <c r="M862" s="91"/>
      <c r="N862" s="46"/>
    </row>
    <row r="863" spans="1:14" x14ac:dyDescent="0.25">
      <c r="A863" s="59"/>
      <c r="B863" s="59"/>
      <c r="D863" s="45"/>
      <c r="E863" s="78"/>
      <c r="F863" s="57"/>
      <c r="G863" s="46"/>
      <c r="H863" s="46"/>
      <c r="I863" s="66"/>
      <c r="J863" s="66"/>
      <c r="K863" s="66"/>
      <c r="L863" s="80"/>
      <c r="M863" s="91"/>
      <c r="N863" s="46"/>
    </row>
    <row r="864" spans="1:14" x14ac:dyDescent="0.25">
      <c r="A864" s="59"/>
      <c r="B864" s="59"/>
      <c r="D864" s="45"/>
      <c r="E864" s="78"/>
      <c r="F864" s="57"/>
      <c r="G864" s="46"/>
      <c r="H864" s="46"/>
      <c r="I864" s="66"/>
      <c r="J864" s="66"/>
      <c r="K864" s="66"/>
      <c r="L864" s="80"/>
      <c r="M864" s="91"/>
      <c r="N864" s="46"/>
    </row>
    <row r="865" spans="1:14" x14ac:dyDescent="0.25">
      <c r="A865" s="59"/>
      <c r="B865" s="59"/>
      <c r="D865" s="45"/>
      <c r="E865" s="78"/>
      <c r="F865" s="57"/>
      <c r="G865" s="46"/>
      <c r="H865" s="46"/>
      <c r="I865" s="66"/>
      <c r="J865" s="66"/>
      <c r="K865" s="66"/>
      <c r="L865" s="80"/>
      <c r="M865" s="91"/>
      <c r="N865" s="46"/>
    </row>
    <row r="866" spans="1:14" x14ac:dyDescent="0.25">
      <c r="A866" s="59"/>
      <c r="B866" s="59"/>
      <c r="D866" s="45"/>
      <c r="E866" s="78"/>
      <c r="F866" s="57"/>
      <c r="G866" s="46"/>
      <c r="H866" s="46"/>
      <c r="I866" s="66"/>
      <c r="J866" s="66"/>
      <c r="K866" s="66"/>
      <c r="L866" s="80"/>
      <c r="M866" s="91"/>
      <c r="N866" s="46"/>
    </row>
    <row r="867" spans="1:14" x14ac:dyDescent="0.25">
      <c r="A867" s="59"/>
      <c r="B867" s="59"/>
      <c r="D867" s="45"/>
      <c r="E867" s="78"/>
      <c r="F867" s="57"/>
      <c r="G867" s="46"/>
      <c r="H867" s="46"/>
      <c r="I867" s="66"/>
      <c r="J867" s="66"/>
      <c r="K867" s="66"/>
      <c r="L867" s="80"/>
      <c r="M867" s="91"/>
      <c r="N867" s="46"/>
    </row>
    <row r="868" spans="1:14" x14ac:dyDescent="0.25">
      <c r="A868" s="59"/>
      <c r="B868" s="59"/>
      <c r="D868" s="45"/>
      <c r="E868" s="78"/>
      <c r="F868" s="57"/>
      <c r="G868" s="46"/>
      <c r="H868" s="46"/>
      <c r="I868" s="66"/>
      <c r="J868" s="66"/>
      <c r="K868" s="66"/>
      <c r="L868" s="80"/>
      <c r="M868" s="91"/>
      <c r="N868" s="46"/>
    </row>
    <row r="869" spans="1:14" x14ac:dyDescent="0.25">
      <c r="A869" s="59"/>
      <c r="B869" s="59"/>
      <c r="D869" s="45"/>
      <c r="E869" s="78"/>
      <c r="F869" s="57"/>
      <c r="G869" s="46"/>
      <c r="H869" s="46"/>
      <c r="I869" s="66"/>
      <c r="J869" s="66"/>
      <c r="K869" s="66"/>
      <c r="L869" s="80"/>
      <c r="M869" s="91"/>
      <c r="N869" s="46"/>
    </row>
    <row r="870" spans="1:14" x14ac:dyDescent="0.25">
      <c r="A870" s="59"/>
      <c r="B870" s="59"/>
      <c r="D870" s="45"/>
      <c r="E870" s="78"/>
      <c r="F870" s="57"/>
      <c r="G870" s="46"/>
      <c r="H870" s="46"/>
      <c r="I870" s="66"/>
      <c r="J870" s="66"/>
      <c r="K870" s="66"/>
      <c r="L870" s="80"/>
      <c r="M870" s="91"/>
      <c r="N870" s="46"/>
    </row>
    <row r="871" spans="1:14" x14ac:dyDescent="0.25">
      <c r="A871" s="59"/>
      <c r="B871" s="59"/>
      <c r="D871" s="45"/>
      <c r="E871" s="78"/>
      <c r="F871" s="57"/>
      <c r="G871" s="46"/>
      <c r="H871" s="46"/>
      <c r="I871" s="66"/>
      <c r="J871" s="66"/>
      <c r="K871" s="66"/>
      <c r="L871" s="80"/>
      <c r="M871" s="91"/>
      <c r="N871" s="46"/>
    </row>
    <row r="872" spans="1:14" x14ac:dyDescent="0.25">
      <c r="A872" s="59"/>
      <c r="B872" s="59"/>
      <c r="D872" s="45"/>
      <c r="E872" s="78"/>
      <c r="F872" s="57"/>
      <c r="G872" s="46"/>
      <c r="H872" s="46"/>
      <c r="I872" s="66"/>
      <c r="J872" s="66"/>
      <c r="K872" s="66"/>
      <c r="L872" s="80"/>
      <c r="M872" s="91"/>
      <c r="N872" s="46"/>
    </row>
    <row r="873" spans="1:14" x14ac:dyDescent="0.25">
      <c r="A873" s="59"/>
      <c r="B873" s="59"/>
      <c r="D873" s="45"/>
      <c r="E873" s="78"/>
      <c r="F873" s="57"/>
      <c r="G873" s="46"/>
      <c r="H873" s="46"/>
      <c r="I873" s="66"/>
      <c r="J873" s="66"/>
      <c r="K873" s="66"/>
      <c r="L873" s="80"/>
      <c r="M873" s="91"/>
      <c r="N873" s="46"/>
    </row>
    <row r="874" spans="1:14" x14ac:dyDescent="0.25">
      <c r="A874" s="59"/>
      <c r="B874" s="59"/>
      <c r="D874" s="45"/>
      <c r="E874" s="78"/>
      <c r="F874" s="57"/>
      <c r="G874" s="46"/>
      <c r="H874" s="46"/>
      <c r="I874" s="66"/>
      <c r="J874" s="66"/>
      <c r="K874" s="66"/>
      <c r="L874" s="80"/>
      <c r="M874" s="91"/>
      <c r="N874" s="46"/>
    </row>
    <row r="875" spans="1:14" x14ac:dyDescent="0.25">
      <c r="A875" s="59"/>
      <c r="B875" s="59"/>
      <c r="D875" s="45"/>
      <c r="E875" s="78"/>
      <c r="F875" s="57"/>
      <c r="G875" s="46"/>
      <c r="H875" s="46"/>
      <c r="I875" s="66"/>
      <c r="J875" s="66"/>
      <c r="K875" s="66"/>
      <c r="L875" s="80"/>
      <c r="M875" s="91"/>
      <c r="N875" s="46"/>
    </row>
    <row r="876" spans="1:14" x14ac:dyDescent="0.25">
      <c r="A876" s="59"/>
      <c r="B876" s="59"/>
      <c r="D876" s="45"/>
      <c r="E876" s="78"/>
      <c r="F876" s="57"/>
      <c r="G876" s="46"/>
      <c r="H876" s="46"/>
      <c r="I876" s="66"/>
      <c r="J876" s="66"/>
      <c r="K876" s="66"/>
      <c r="L876" s="80"/>
      <c r="M876" s="91"/>
      <c r="N876" s="46"/>
    </row>
    <row r="877" spans="1:14" x14ac:dyDescent="0.25">
      <c r="A877" s="59"/>
      <c r="B877" s="59"/>
      <c r="D877" s="45"/>
      <c r="E877" s="78"/>
      <c r="F877" s="57"/>
      <c r="G877" s="46"/>
      <c r="H877" s="46"/>
      <c r="I877" s="66"/>
      <c r="J877" s="66"/>
      <c r="K877" s="66"/>
      <c r="L877" s="80"/>
      <c r="M877" s="91"/>
      <c r="N877" s="46"/>
    </row>
    <row r="878" spans="1:14" x14ac:dyDescent="0.25">
      <c r="A878" s="59"/>
      <c r="B878" s="59"/>
      <c r="D878" s="45"/>
      <c r="E878" s="78"/>
      <c r="F878" s="57"/>
      <c r="G878" s="46"/>
      <c r="H878" s="46"/>
      <c r="I878" s="66"/>
      <c r="J878" s="66"/>
      <c r="K878" s="66"/>
      <c r="L878" s="80"/>
      <c r="M878" s="91"/>
      <c r="N878" s="46"/>
    </row>
    <row r="879" spans="1:14" x14ac:dyDescent="0.25">
      <c r="A879" s="59"/>
      <c r="B879" s="59"/>
      <c r="D879" s="45"/>
      <c r="E879" s="78"/>
      <c r="F879" s="57"/>
      <c r="G879" s="46"/>
      <c r="H879" s="46"/>
      <c r="I879" s="66"/>
      <c r="J879" s="66"/>
      <c r="K879" s="66"/>
      <c r="L879" s="80"/>
      <c r="M879" s="91"/>
      <c r="N879" s="46"/>
    </row>
    <row r="880" spans="1:14" x14ac:dyDescent="0.25">
      <c r="A880" s="59"/>
      <c r="B880" s="59"/>
      <c r="D880" s="45"/>
      <c r="E880" s="78"/>
      <c r="F880" s="57"/>
      <c r="G880" s="46"/>
      <c r="H880" s="46"/>
      <c r="I880" s="66"/>
      <c r="J880" s="66"/>
      <c r="K880" s="66"/>
      <c r="L880" s="80"/>
      <c r="M880" s="91"/>
      <c r="N880" s="46"/>
    </row>
    <row r="881" spans="1:14" x14ac:dyDescent="0.25">
      <c r="A881" s="59"/>
      <c r="B881" s="59"/>
      <c r="D881" s="45"/>
      <c r="E881" s="78"/>
      <c r="F881" s="57"/>
      <c r="G881" s="46"/>
      <c r="H881" s="46"/>
      <c r="I881" s="66"/>
      <c r="J881" s="66"/>
      <c r="K881" s="66"/>
      <c r="L881" s="80"/>
      <c r="M881" s="91"/>
      <c r="N881" s="46"/>
    </row>
    <row r="882" spans="1:14" x14ac:dyDescent="0.25">
      <c r="A882" s="59"/>
      <c r="B882" s="59"/>
      <c r="D882" s="45"/>
      <c r="E882" s="78"/>
      <c r="F882" s="57"/>
      <c r="G882" s="46"/>
      <c r="H882" s="46"/>
      <c r="I882" s="66"/>
      <c r="J882" s="66"/>
      <c r="K882" s="66"/>
      <c r="L882" s="80"/>
      <c r="M882" s="91"/>
      <c r="N882" s="46"/>
    </row>
    <row r="883" spans="1:14" x14ac:dyDescent="0.25">
      <c r="A883" s="59"/>
      <c r="B883" s="59"/>
      <c r="D883" s="45"/>
      <c r="E883" s="78"/>
      <c r="F883" s="57"/>
      <c r="G883" s="46"/>
      <c r="H883" s="46"/>
      <c r="I883" s="66"/>
      <c r="J883" s="66"/>
      <c r="K883" s="66"/>
      <c r="L883" s="80"/>
      <c r="M883" s="91"/>
      <c r="N883" s="46"/>
    </row>
    <row r="884" spans="1:14" x14ac:dyDescent="0.25">
      <c r="A884" s="59"/>
      <c r="B884" s="59"/>
      <c r="D884" s="45"/>
      <c r="E884" s="78"/>
      <c r="F884" s="57"/>
      <c r="G884" s="46"/>
      <c r="H884" s="46"/>
      <c r="I884" s="66"/>
      <c r="J884" s="66"/>
      <c r="K884" s="66"/>
      <c r="L884" s="80"/>
      <c r="M884" s="91"/>
      <c r="N884" s="46"/>
    </row>
    <row r="885" spans="1:14" x14ac:dyDescent="0.25">
      <c r="A885" s="59"/>
      <c r="B885" s="59"/>
      <c r="D885" s="45"/>
      <c r="E885" s="78"/>
      <c r="F885" s="57"/>
      <c r="G885" s="46"/>
      <c r="H885" s="46"/>
      <c r="I885" s="66"/>
      <c r="J885" s="66"/>
      <c r="K885" s="66"/>
      <c r="L885" s="80"/>
      <c r="M885" s="91"/>
      <c r="N885" s="46"/>
    </row>
    <row r="886" spans="1:14" x14ac:dyDescent="0.25">
      <c r="A886" s="59"/>
      <c r="B886" s="59"/>
      <c r="D886" s="45"/>
      <c r="E886" s="78"/>
      <c r="F886" s="57"/>
      <c r="G886" s="46"/>
      <c r="H886" s="46"/>
      <c r="I886" s="66"/>
      <c r="J886" s="66"/>
      <c r="K886" s="66"/>
      <c r="L886" s="80"/>
      <c r="M886" s="91"/>
      <c r="N886" s="46"/>
    </row>
    <row r="887" spans="1:14" x14ac:dyDescent="0.25">
      <c r="A887" s="59"/>
      <c r="B887" s="59"/>
      <c r="D887" s="45"/>
      <c r="E887" s="78"/>
      <c r="F887" s="57"/>
      <c r="G887" s="46"/>
      <c r="H887" s="46"/>
      <c r="I887" s="66"/>
      <c r="J887" s="66"/>
      <c r="K887" s="66"/>
      <c r="L887" s="80"/>
      <c r="M887" s="91"/>
      <c r="N887" s="46"/>
    </row>
    <row r="888" spans="1:14" x14ac:dyDescent="0.25">
      <c r="A888" s="59"/>
      <c r="B888" s="59"/>
      <c r="D888" s="45"/>
      <c r="E888" s="78"/>
      <c r="F888" s="57"/>
      <c r="G888" s="46"/>
      <c r="H888" s="46"/>
      <c r="I888" s="66"/>
      <c r="J888" s="66"/>
      <c r="K888" s="66"/>
      <c r="L888" s="80"/>
      <c r="M888" s="91"/>
      <c r="N888" s="46"/>
    </row>
    <row r="889" spans="1:14" x14ac:dyDescent="0.25">
      <c r="A889" s="59"/>
      <c r="B889" s="59"/>
      <c r="D889" s="45"/>
      <c r="E889" s="78"/>
      <c r="F889" s="57"/>
      <c r="G889" s="46"/>
      <c r="H889" s="46"/>
      <c r="I889" s="66"/>
      <c r="J889" s="66"/>
      <c r="K889" s="66"/>
      <c r="L889" s="80"/>
      <c r="M889" s="91"/>
      <c r="N889" s="46"/>
    </row>
    <row r="890" spans="1:14" x14ac:dyDescent="0.25">
      <c r="A890" s="59"/>
      <c r="B890" s="59"/>
      <c r="D890" s="45"/>
      <c r="E890" s="78"/>
      <c r="F890" s="57"/>
      <c r="G890" s="46"/>
      <c r="H890" s="46"/>
      <c r="I890" s="66"/>
      <c r="J890" s="66"/>
      <c r="K890" s="66"/>
      <c r="L890" s="80"/>
      <c r="M890" s="91"/>
      <c r="N890" s="46"/>
    </row>
    <row r="891" spans="1:14" x14ac:dyDescent="0.25">
      <c r="A891" s="59"/>
      <c r="B891" s="59"/>
      <c r="D891" s="45"/>
      <c r="E891" s="78"/>
      <c r="F891" s="57"/>
      <c r="G891" s="46"/>
      <c r="H891" s="46"/>
      <c r="I891" s="66"/>
      <c r="J891" s="66"/>
      <c r="K891" s="66"/>
      <c r="L891" s="80"/>
      <c r="M891" s="91"/>
      <c r="N891" s="46"/>
    </row>
    <row r="892" spans="1:14" x14ac:dyDescent="0.25">
      <c r="A892" s="59"/>
      <c r="B892" s="59"/>
      <c r="D892" s="45"/>
      <c r="E892" s="78"/>
      <c r="F892" s="57"/>
      <c r="G892" s="46"/>
      <c r="H892" s="46"/>
      <c r="I892" s="66"/>
      <c r="J892" s="66"/>
      <c r="K892" s="66"/>
      <c r="L892" s="80"/>
      <c r="M892" s="91"/>
      <c r="N892" s="46"/>
    </row>
    <row r="893" spans="1:14" x14ac:dyDescent="0.25">
      <c r="A893" s="59"/>
      <c r="B893" s="59"/>
      <c r="D893" s="45"/>
      <c r="E893" s="78"/>
      <c r="F893" s="57"/>
      <c r="G893" s="46"/>
      <c r="H893" s="46"/>
      <c r="I893" s="66"/>
      <c r="J893" s="66"/>
      <c r="K893" s="66"/>
      <c r="L893" s="80"/>
      <c r="M893" s="91"/>
      <c r="N893" s="46"/>
    </row>
    <row r="894" spans="1:14" x14ac:dyDescent="0.25">
      <c r="A894" s="59"/>
      <c r="B894" s="59"/>
      <c r="D894" s="45"/>
      <c r="E894" s="78"/>
      <c r="F894" s="57"/>
      <c r="G894" s="46"/>
      <c r="H894" s="46"/>
      <c r="I894" s="66"/>
      <c r="J894" s="66"/>
      <c r="K894" s="66"/>
      <c r="L894" s="80"/>
      <c r="M894" s="91"/>
      <c r="N894" s="46"/>
    </row>
    <row r="895" spans="1:14" x14ac:dyDescent="0.25">
      <c r="A895" s="59"/>
      <c r="B895" s="59"/>
      <c r="D895" s="45"/>
      <c r="E895" s="78"/>
      <c r="F895" s="57"/>
      <c r="G895" s="46"/>
      <c r="H895" s="46"/>
      <c r="I895" s="66"/>
      <c r="J895" s="66"/>
      <c r="K895" s="66"/>
      <c r="L895" s="80"/>
      <c r="M895" s="91"/>
      <c r="N895" s="46"/>
    </row>
    <row r="896" spans="1:14" x14ac:dyDescent="0.25">
      <c r="A896" s="59"/>
      <c r="B896" s="59"/>
      <c r="D896" s="45"/>
      <c r="E896" s="78"/>
      <c r="F896" s="57"/>
      <c r="G896" s="46"/>
      <c r="H896" s="46"/>
      <c r="I896" s="66"/>
      <c r="J896" s="66"/>
      <c r="K896" s="66"/>
      <c r="L896" s="80"/>
      <c r="M896" s="91"/>
      <c r="N896" s="46"/>
    </row>
    <row r="897" spans="1:14" x14ac:dyDescent="0.25">
      <c r="A897" s="59"/>
      <c r="B897" s="59"/>
      <c r="D897" s="45"/>
      <c r="E897" s="78"/>
      <c r="F897" s="57"/>
      <c r="G897" s="46"/>
      <c r="H897" s="46"/>
      <c r="I897" s="66"/>
      <c r="J897" s="66"/>
      <c r="K897" s="66"/>
      <c r="L897" s="80"/>
      <c r="M897" s="91"/>
      <c r="N897" s="46"/>
    </row>
    <row r="898" spans="1:14" x14ac:dyDescent="0.25">
      <c r="A898" s="59"/>
      <c r="B898" s="59"/>
      <c r="D898" s="45"/>
      <c r="E898" s="78"/>
      <c r="F898" s="57"/>
      <c r="G898" s="46"/>
      <c r="H898" s="46"/>
      <c r="I898" s="66"/>
      <c r="J898" s="66"/>
      <c r="K898" s="66"/>
      <c r="L898" s="80"/>
      <c r="M898" s="91"/>
      <c r="N898" s="46"/>
    </row>
    <row r="899" spans="1:14" x14ac:dyDescent="0.25">
      <c r="A899" s="59"/>
      <c r="B899" s="59"/>
      <c r="D899" s="45"/>
      <c r="E899" s="78"/>
      <c r="F899" s="57"/>
      <c r="G899" s="46"/>
      <c r="H899" s="46"/>
      <c r="I899" s="66"/>
      <c r="J899" s="66"/>
      <c r="K899" s="66"/>
      <c r="L899" s="80"/>
      <c r="M899" s="91"/>
      <c r="N899" s="46"/>
    </row>
    <row r="900" spans="1:14" x14ac:dyDescent="0.25">
      <c r="A900" s="59"/>
      <c r="B900" s="59"/>
      <c r="D900" s="45"/>
      <c r="E900" s="78"/>
      <c r="F900" s="57"/>
      <c r="G900" s="46"/>
      <c r="H900" s="46"/>
      <c r="I900" s="66"/>
      <c r="J900" s="66"/>
      <c r="K900" s="66"/>
      <c r="L900" s="80"/>
      <c r="M900" s="91"/>
      <c r="N900" s="46"/>
    </row>
    <row r="901" spans="1:14" x14ac:dyDescent="0.25">
      <c r="A901" s="59"/>
      <c r="B901" s="59"/>
      <c r="D901" s="45"/>
      <c r="E901" s="78"/>
      <c r="F901" s="57"/>
      <c r="G901" s="46"/>
      <c r="H901" s="46"/>
      <c r="I901" s="66"/>
      <c r="J901" s="66"/>
      <c r="K901" s="66"/>
      <c r="L901" s="80"/>
      <c r="M901" s="91"/>
      <c r="N901" s="46"/>
    </row>
    <row r="902" spans="1:14" x14ac:dyDescent="0.25">
      <c r="A902" s="59"/>
      <c r="B902" s="59"/>
      <c r="D902" s="45"/>
      <c r="E902" s="78"/>
      <c r="F902" s="57"/>
      <c r="G902" s="46"/>
      <c r="H902" s="46"/>
      <c r="I902" s="66"/>
      <c r="J902" s="66"/>
      <c r="K902" s="66"/>
      <c r="L902" s="80"/>
      <c r="M902" s="91"/>
      <c r="N902" s="46"/>
    </row>
    <row r="903" spans="1:14" x14ac:dyDescent="0.25">
      <c r="A903" s="59"/>
      <c r="B903" s="59"/>
      <c r="D903" s="45"/>
      <c r="E903" s="78"/>
      <c r="F903" s="57"/>
      <c r="G903" s="46"/>
      <c r="H903" s="46"/>
      <c r="I903" s="66"/>
      <c r="J903" s="66"/>
      <c r="K903" s="66"/>
      <c r="L903" s="80"/>
      <c r="M903" s="91"/>
      <c r="N903" s="46"/>
    </row>
    <row r="904" spans="1:14" x14ac:dyDescent="0.25">
      <c r="A904" s="59"/>
      <c r="B904" s="59"/>
      <c r="D904" s="45"/>
      <c r="E904" s="78"/>
      <c r="F904" s="57"/>
      <c r="G904" s="46"/>
      <c r="H904" s="46"/>
      <c r="I904" s="66"/>
      <c r="J904" s="66"/>
      <c r="K904" s="66"/>
      <c r="L904" s="80"/>
      <c r="M904" s="91"/>
      <c r="N904" s="46"/>
    </row>
    <row r="905" spans="1:14" x14ac:dyDescent="0.25">
      <c r="A905" s="59"/>
      <c r="B905" s="59"/>
      <c r="D905" s="45"/>
      <c r="E905" s="78"/>
      <c r="F905" s="57"/>
      <c r="G905" s="46"/>
      <c r="H905" s="46"/>
      <c r="I905" s="66"/>
      <c r="J905" s="66"/>
      <c r="K905" s="66"/>
      <c r="L905" s="80"/>
      <c r="M905" s="91"/>
      <c r="N905" s="46"/>
    </row>
    <row r="906" spans="1:14" x14ac:dyDescent="0.25">
      <c r="A906" s="59"/>
      <c r="B906" s="59"/>
      <c r="D906" s="45"/>
      <c r="E906" s="78"/>
      <c r="F906" s="57"/>
      <c r="G906" s="46"/>
      <c r="H906" s="46"/>
      <c r="I906" s="66"/>
      <c r="J906" s="66"/>
      <c r="K906" s="66"/>
      <c r="L906" s="80"/>
      <c r="M906" s="91"/>
      <c r="N906" s="46"/>
    </row>
    <row r="907" spans="1:14" x14ac:dyDescent="0.25">
      <c r="A907" s="59"/>
      <c r="B907" s="59"/>
      <c r="D907" s="45"/>
      <c r="E907" s="78"/>
      <c r="F907" s="57"/>
      <c r="G907" s="46"/>
      <c r="H907" s="46"/>
      <c r="I907" s="66"/>
      <c r="J907" s="66"/>
      <c r="K907" s="66"/>
      <c r="L907" s="80"/>
      <c r="M907" s="91"/>
      <c r="N907" s="46"/>
    </row>
    <row r="908" spans="1:14" x14ac:dyDescent="0.25">
      <c r="A908" s="59"/>
      <c r="B908" s="59"/>
      <c r="D908" s="45"/>
      <c r="E908" s="78"/>
      <c r="F908" s="57"/>
      <c r="G908" s="46"/>
      <c r="H908" s="46"/>
      <c r="I908" s="66"/>
      <c r="J908" s="66"/>
      <c r="K908" s="66"/>
      <c r="L908" s="80"/>
      <c r="M908" s="91"/>
      <c r="N908" s="46"/>
    </row>
    <row r="909" spans="1:14" x14ac:dyDescent="0.25">
      <c r="A909" s="59"/>
      <c r="B909" s="59"/>
      <c r="D909" s="45"/>
      <c r="E909" s="78"/>
      <c r="F909" s="57"/>
      <c r="G909" s="46"/>
      <c r="H909" s="46"/>
      <c r="I909" s="66"/>
      <c r="J909" s="66"/>
      <c r="K909" s="66"/>
      <c r="L909" s="80"/>
      <c r="M909" s="91"/>
      <c r="N909" s="46"/>
    </row>
    <row r="910" spans="1:14" x14ac:dyDescent="0.25">
      <c r="A910" s="59"/>
      <c r="B910" s="59"/>
      <c r="D910" s="45"/>
      <c r="E910" s="78"/>
      <c r="F910" s="57"/>
      <c r="G910" s="46"/>
      <c r="H910" s="46"/>
      <c r="I910" s="66"/>
      <c r="J910" s="66"/>
      <c r="K910" s="66"/>
      <c r="L910" s="80"/>
      <c r="M910" s="91"/>
      <c r="N910" s="46"/>
    </row>
    <row r="911" spans="1:14" x14ac:dyDescent="0.25">
      <c r="A911" s="59"/>
      <c r="B911" s="59"/>
      <c r="D911" s="45"/>
      <c r="E911" s="78"/>
      <c r="F911" s="57"/>
      <c r="G911" s="46"/>
      <c r="H911" s="46"/>
      <c r="I911" s="66"/>
      <c r="J911" s="66"/>
      <c r="K911" s="66"/>
      <c r="L911" s="80"/>
      <c r="M911" s="91"/>
      <c r="N911" s="46"/>
    </row>
    <row r="912" spans="1:14" x14ac:dyDescent="0.25">
      <c r="A912" s="59"/>
      <c r="B912" s="59"/>
      <c r="D912" s="45"/>
      <c r="E912" s="78"/>
      <c r="F912" s="57"/>
      <c r="G912" s="46"/>
      <c r="H912" s="46"/>
      <c r="I912" s="66"/>
      <c r="J912" s="66"/>
      <c r="K912" s="66"/>
      <c r="L912" s="80"/>
      <c r="M912" s="91"/>
      <c r="N912" s="46"/>
    </row>
    <row r="913" spans="1:14" x14ac:dyDescent="0.25">
      <c r="A913" s="59"/>
      <c r="B913" s="59"/>
      <c r="D913" s="45"/>
      <c r="E913" s="78"/>
      <c r="F913" s="57"/>
      <c r="G913" s="46"/>
      <c r="H913" s="46"/>
      <c r="I913" s="66"/>
      <c r="J913" s="66"/>
      <c r="K913" s="66"/>
      <c r="L913" s="80"/>
      <c r="M913" s="91"/>
      <c r="N913" s="46"/>
    </row>
    <row r="914" spans="1:14" x14ac:dyDescent="0.25">
      <c r="A914" s="59"/>
      <c r="B914" s="59"/>
      <c r="D914" s="45"/>
      <c r="E914" s="78"/>
      <c r="F914" s="57"/>
      <c r="G914" s="46"/>
      <c r="H914" s="46"/>
      <c r="I914" s="66"/>
      <c r="J914" s="66"/>
      <c r="K914" s="66"/>
      <c r="L914" s="80"/>
      <c r="M914" s="91"/>
      <c r="N914" s="46"/>
    </row>
    <row r="915" spans="1:14" x14ac:dyDescent="0.25">
      <c r="A915" s="59"/>
      <c r="B915" s="59"/>
      <c r="D915" s="45"/>
      <c r="E915" s="78"/>
      <c r="F915" s="57"/>
      <c r="G915" s="46"/>
      <c r="H915" s="46"/>
      <c r="I915" s="66"/>
      <c r="J915" s="66"/>
      <c r="K915" s="66"/>
      <c r="L915" s="80"/>
      <c r="M915" s="91"/>
      <c r="N915" s="46"/>
    </row>
    <row r="916" spans="1:14" x14ac:dyDescent="0.25">
      <c r="A916" s="59"/>
      <c r="B916" s="59"/>
      <c r="D916" s="45"/>
      <c r="E916" s="78"/>
      <c r="F916" s="57"/>
      <c r="G916" s="46"/>
      <c r="H916" s="46"/>
      <c r="I916" s="66"/>
      <c r="J916" s="66"/>
      <c r="K916" s="66"/>
      <c r="L916" s="80"/>
      <c r="M916" s="91"/>
      <c r="N916" s="46"/>
    </row>
    <row r="917" spans="1:14" x14ac:dyDescent="0.25">
      <c r="A917" s="59"/>
      <c r="B917" s="59"/>
      <c r="D917" s="45"/>
      <c r="E917" s="78"/>
      <c r="F917" s="57"/>
      <c r="G917" s="46"/>
      <c r="H917" s="46"/>
      <c r="I917" s="66"/>
      <c r="J917" s="66"/>
      <c r="K917" s="66"/>
      <c r="L917" s="80"/>
      <c r="M917" s="91"/>
      <c r="N917" s="46"/>
    </row>
    <row r="918" spans="1:14" x14ac:dyDescent="0.25">
      <c r="A918" s="59"/>
      <c r="B918" s="59"/>
      <c r="D918" s="45"/>
      <c r="E918" s="78"/>
      <c r="F918" s="57"/>
      <c r="G918" s="46"/>
      <c r="H918" s="46"/>
      <c r="I918" s="66"/>
      <c r="J918" s="66"/>
      <c r="K918" s="66"/>
      <c r="L918" s="80"/>
      <c r="M918" s="91"/>
      <c r="N918" s="46"/>
    </row>
    <row r="919" spans="1:14" x14ac:dyDescent="0.25">
      <c r="A919" s="59"/>
      <c r="B919" s="59"/>
      <c r="D919" s="45"/>
      <c r="E919" s="78"/>
      <c r="F919" s="57"/>
      <c r="G919" s="46"/>
      <c r="H919" s="46"/>
      <c r="I919" s="66"/>
      <c r="J919" s="66"/>
      <c r="K919" s="66"/>
      <c r="L919" s="80"/>
      <c r="M919" s="91"/>
      <c r="N919" s="46"/>
    </row>
    <row r="920" spans="1:14" x14ac:dyDescent="0.25">
      <c r="A920" s="59"/>
      <c r="B920" s="59"/>
      <c r="D920" s="45"/>
      <c r="E920" s="78"/>
      <c r="F920" s="57"/>
      <c r="G920" s="46"/>
      <c r="H920" s="46"/>
      <c r="I920" s="66"/>
      <c r="J920" s="66"/>
      <c r="K920" s="66"/>
      <c r="L920" s="80"/>
      <c r="M920" s="91"/>
      <c r="N920" s="46"/>
    </row>
    <row r="921" spans="1:14" x14ac:dyDescent="0.25">
      <c r="A921" s="59"/>
      <c r="B921" s="59"/>
      <c r="D921" s="45"/>
      <c r="E921" s="78"/>
      <c r="F921" s="57"/>
      <c r="G921" s="46"/>
      <c r="H921" s="46"/>
      <c r="I921" s="66"/>
      <c r="J921" s="66"/>
      <c r="K921" s="66"/>
      <c r="L921" s="80"/>
      <c r="M921" s="91"/>
      <c r="N921" s="46"/>
    </row>
    <row r="922" spans="1:14" x14ac:dyDescent="0.25">
      <c r="A922" s="59"/>
      <c r="B922" s="59"/>
      <c r="D922" s="45"/>
      <c r="E922" s="78"/>
      <c r="F922" s="57"/>
      <c r="G922" s="46"/>
      <c r="H922" s="46"/>
      <c r="I922" s="66"/>
      <c r="J922" s="66"/>
      <c r="K922" s="66"/>
      <c r="L922" s="80"/>
      <c r="M922" s="91"/>
      <c r="N922" s="46"/>
    </row>
    <row r="923" spans="1:14" x14ac:dyDescent="0.25">
      <c r="A923" s="59"/>
      <c r="B923" s="59"/>
      <c r="D923" s="45"/>
      <c r="E923" s="78"/>
      <c r="F923" s="57"/>
      <c r="G923" s="46"/>
      <c r="H923" s="46"/>
      <c r="I923" s="66"/>
      <c r="J923" s="66"/>
      <c r="K923" s="66"/>
      <c r="L923" s="80"/>
      <c r="M923" s="91"/>
      <c r="N923" s="46"/>
    </row>
    <row r="924" spans="1:14" x14ac:dyDescent="0.25">
      <c r="A924" s="59"/>
      <c r="B924" s="59"/>
      <c r="D924" s="45"/>
      <c r="E924" s="78"/>
      <c r="F924" s="57"/>
      <c r="G924" s="46"/>
      <c r="H924" s="46"/>
      <c r="I924" s="66"/>
      <c r="J924" s="66"/>
      <c r="K924" s="66"/>
      <c r="L924" s="80"/>
      <c r="M924" s="91"/>
      <c r="N924" s="46"/>
    </row>
    <row r="925" spans="1:14" x14ac:dyDescent="0.25">
      <c r="A925" s="59"/>
      <c r="B925" s="59"/>
      <c r="D925" s="45"/>
      <c r="E925" s="78"/>
      <c r="F925" s="57"/>
      <c r="G925" s="46"/>
      <c r="H925" s="46"/>
      <c r="I925" s="66"/>
      <c r="J925" s="66"/>
      <c r="K925" s="66"/>
      <c r="L925" s="80"/>
      <c r="M925" s="91"/>
      <c r="N925" s="46"/>
    </row>
    <row r="926" spans="1:14" x14ac:dyDescent="0.25">
      <c r="A926" s="59"/>
      <c r="B926" s="59"/>
      <c r="D926" s="45"/>
      <c r="E926" s="78"/>
      <c r="F926" s="57"/>
      <c r="G926" s="46"/>
      <c r="H926" s="46"/>
      <c r="I926" s="66"/>
      <c r="J926" s="66"/>
      <c r="K926" s="66"/>
      <c r="L926" s="80"/>
      <c r="M926" s="91"/>
      <c r="N926" s="46"/>
    </row>
    <row r="927" spans="1:14" x14ac:dyDescent="0.25">
      <c r="A927" s="59"/>
      <c r="B927" s="59"/>
      <c r="D927" s="45"/>
      <c r="E927" s="78"/>
      <c r="F927" s="57"/>
      <c r="G927" s="46"/>
      <c r="H927" s="46"/>
      <c r="I927" s="66"/>
      <c r="J927" s="66"/>
      <c r="K927" s="66"/>
      <c r="L927" s="80"/>
      <c r="M927" s="91"/>
      <c r="N927" s="46"/>
    </row>
    <row r="928" spans="1:14" x14ac:dyDescent="0.25">
      <c r="A928" s="44"/>
    </row>
  </sheetData>
  <sheetProtection algorithmName="SHA-512" hashValue="LDmTcGOoPh+8JlLiLjm/8UOYkPwTCa0mZgtLFlNDwqQegSNdA/PV9OCEsb4KTzjPiOze7MOFaVzhjv1PlWAhvg==" saltValue="novhJ2ggaEVdg1R6ED1dnA==" spinCount="100000" sheet="1" formatRows="0"/>
  <phoneticPr fontId="8" type="noConversion"/>
  <pageMargins left="0.511811024" right="0.511811024" top="0.78740157499999996" bottom="0.78740157499999996" header="0.31496062000000002" footer="0.31496062000000002"/>
  <pageSetup paperSize="9" orientation="portrait" verticalDpi="599" r:id="rId1"/>
  <ignoredErrors>
    <ignoredError sqref="E377:E740 A3:A746 E741:E748 A747:A752 A753:A758 E749:E758 G379:G75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5"/>
  <sheetViews>
    <sheetView workbookViewId="0">
      <selection activeCell="E6" sqref="E6"/>
    </sheetView>
  </sheetViews>
  <sheetFormatPr defaultRowHeight="15" x14ac:dyDescent="0.25"/>
  <cols>
    <col min="2" max="2" width="20.28515625" customWidth="1"/>
    <col min="3" max="3" width="13.85546875" customWidth="1"/>
    <col min="4" max="4" width="16.28515625" customWidth="1"/>
    <col min="5" max="5" width="21.5703125" customWidth="1"/>
  </cols>
  <sheetData>
    <row r="1" spans="1:5" x14ac:dyDescent="0.25">
      <c r="B1" s="175" t="s">
        <v>23</v>
      </c>
      <c r="C1" s="175"/>
      <c r="D1" s="175"/>
      <c r="E1" s="175"/>
    </row>
    <row r="2" spans="1:5" x14ac:dyDescent="0.25">
      <c r="B2" s="6" t="s">
        <v>24</v>
      </c>
      <c r="C2" s="6" t="s">
        <v>25</v>
      </c>
      <c r="D2" s="6" t="s">
        <v>26</v>
      </c>
      <c r="E2" s="6" t="s">
        <v>27</v>
      </c>
    </row>
    <row r="3" spans="1:5" x14ac:dyDescent="0.25">
      <c r="B3" s="10" t="str">
        <f>CONCATENATE(VLOOKUP(MONTH(FORMULÁRIO!G18),Definições!A1:C13,2,FALSE),"/",YEAR(FORMULÁRIO!G18))</f>
        <v>JAN/1900</v>
      </c>
      <c r="C3" s="6" t="e">
        <f>VLOOKUP(B3,TabelaCalculo[],4,FALSE)</f>
        <v>#N/A</v>
      </c>
      <c r="D3" s="6" t="str">
        <f>CONCATENATE(VLOOKUP(MONTH(FORMULÁRIO!G8),Definições!A1:C13,2,FALSE),"/",YEAR(FORMULÁRIO!G8))</f>
        <v>JAN/1900</v>
      </c>
      <c r="E3" s="6" t="e">
        <f>VLOOKUP(D3,TabelaCalculo[],4,FALSE)</f>
        <v>#N/A</v>
      </c>
    </row>
    <row r="4" spans="1:5" x14ac:dyDescent="0.25">
      <c r="B4" s="3"/>
      <c r="C4" s="3"/>
      <c r="D4" s="3"/>
      <c r="E4" s="3"/>
    </row>
    <row r="5" spans="1:5" x14ac:dyDescent="0.25">
      <c r="B5" s="175" t="s">
        <v>28</v>
      </c>
      <c r="C5" s="175"/>
      <c r="D5" s="175"/>
      <c r="E5" s="175"/>
    </row>
    <row r="6" spans="1:5" x14ac:dyDescent="0.25">
      <c r="B6" s="6" t="s">
        <v>24</v>
      </c>
      <c r="C6" s="6" t="s">
        <v>25</v>
      </c>
      <c r="D6" s="6" t="s">
        <v>26</v>
      </c>
      <c r="E6" s="6" t="s">
        <v>27</v>
      </c>
    </row>
    <row r="7" spans="1:5" x14ac:dyDescent="0.25">
      <c r="B7" s="6" t="str">
        <f>CONCATENATE(VLOOKUP(MONTH(FORMULÁRIO!G59),Definições!A1:C13,2,FALSE),"/",YEAR(FORMULÁRIO!G59))</f>
        <v>JAN/1900</v>
      </c>
      <c r="C7" s="6" t="e">
        <f>VLOOKUP(B7,TabelaCalculo[],4,FALSE)</f>
        <v>#N/A</v>
      </c>
      <c r="D7" s="6" t="str">
        <f>CONCATENATE(VLOOKUP(MONTH(FORMULÁRIO!G8),Definições!A1:C13,2,FALSE),"/",YEAR(FORMULÁRIO!G8))</f>
        <v>JAN/1900</v>
      </c>
      <c r="E7" s="6" t="e">
        <f>VLOOKUP(D7,TabelaCalculo[],4,FALSE)</f>
        <v>#N/A</v>
      </c>
    </row>
    <row r="9" spans="1:5" x14ac:dyDescent="0.25">
      <c r="A9" s="175" t="s">
        <v>29</v>
      </c>
      <c r="B9" s="175"/>
      <c r="C9" s="175"/>
      <c r="D9" s="175"/>
      <c r="E9" s="175"/>
    </row>
    <row r="10" spans="1:5" x14ac:dyDescent="0.25">
      <c r="A10" s="4" t="s">
        <v>30</v>
      </c>
      <c r="B10" s="6" t="s">
        <v>24</v>
      </c>
      <c r="C10" s="6" t="s">
        <v>25</v>
      </c>
      <c r="D10" s="6" t="s">
        <v>26</v>
      </c>
      <c r="E10" s="6" t="s">
        <v>27</v>
      </c>
    </row>
    <row r="11" spans="1:5" x14ac:dyDescent="0.25">
      <c r="A11" s="4">
        <v>41</v>
      </c>
      <c r="B11" s="6" t="str">
        <f>IF(FORMULÁRIO!M43="","",CONCATENATE(VLOOKUP(MONTH(FORMULÁRIO!M43),Definições!$A$1:$C$13,2,FALSE),"/",YEAR(FORMULÁRIO!M43)))</f>
        <v/>
      </c>
      <c r="C11" s="6" t="str">
        <f>IF(B11="","",VLOOKUP(B11,TabelaCalculo[],4,FALSE))</f>
        <v/>
      </c>
      <c r="D11" s="6" t="str">
        <f>IF(FORMULÁRIO!$G$8="","",CONCATENATE(VLOOKUP(MONTH(FORMULÁRIO!$G$8),Definições!$A$1:$C$13,2,FALSE),"/",YEAR(FORMULÁRIO!$G$8)))</f>
        <v/>
      </c>
      <c r="E11" s="6" t="str">
        <f>IF(D11="","",VLOOKUP(D11,TabelaCalculo[],4,FALSE))</f>
        <v/>
      </c>
    </row>
    <row r="12" spans="1:5" x14ac:dyDescent="0.25">
      <c r="A12" s="4">
        <v>43</v>
      </c>
      <c r="B12" s="4" t="str">
        <f>IF(FORMULÁRIO!M45="","",CONCATENATE(VLOOKUP(MONTH(FORMULÁRIO!M45),Definições!$A$1:$C$13,2,FALSE),"/",YEAR(FORMULÁRIO!M45)))</f>
        <v/>
      </c>
      <c r="C12" s="6" t="str">
        <f>IF(B12="","",VLOOKUP(B12,TabelaCalculo[],4,FALSE))</f>
        <v/>
      </c>
      <c r="D12" s="4" t="str">
        <f>IF(FORMULÁRIO!$G$8="","",CONCATENATE(VLOOKUP(MONTH(FORMULÁRIO!$G$8),Definições!$A$1:$C$13,2,FALSE),"/",YEAR(FORMULÁRIO!$G$8)))</f>
        <v/>
      </c>
      <c r="E12" s="4" t="str">
        <f>IF(D12="","",VLOOKUP(D12,TabelaCalculo[],4,FALSE))</f>
        <v/>
      </c>
    </row>
    <row r="13" spans="1:5" x14ac:dyDescent="0.25">
      <c r="A13" s="4">
        <v>45</v>
      </c>
      <c r="B13" s="4" t="str">
        <f>IF(FORMULÁRIO!M47="","",CONCATENATE(VLOOKUP(MONTH(FORMULÁRIO!M47),Definições!$A$1:$C$13,2,FALSE),"/",YEAR(FORMULÁRIO!M47)))</f>
        <v/>
      </c>
      <c r="C13" s="6" t="str">
        <f>IF(B13="","",VLOOKUP(B13,TabelaCalculo[],4,FALSE))</f>
        <v/>
      </c>
      <c r="D13" s="4" t="str">
        <f>IF(FORMULÁRIO!$G$8="","",CONCATENATE(VLOOKUP(MONTH(FORMULÁRIO!$G$8),Definições!$A$1:$C$13,2,FALSE),"/",YEAR(FORMULÁRIO!$G$8)))</f>
        <v/>
      </c>
      <c r="E13" s="4" t="str">
        <f>IF(D13="","",VLOOKUP(D13,TabelaCalculo[],4,FALSE))</f>
        <v/>
      </c>
    </row>
    <row r="14" spans="1:5" x14ac:dyDescent="0.25">
      <c r="A14" s="4">
        <v>47</v>
      </c>
      <c r="B14" s="4" t="str">
        <f>IF(FORMULÁRIO!M49="","",CONCATENATE(VLOOKUP(MONTH(FORMULÁRIO!M49),Definições!$A$1:$C$13,2,FALSE),"/",YEAR(FORMULÁRIO!M49)))</f>
        <v/>
      </c>
      <c r="C14" s="6" t="str">
        <f>IF(B14="","",VLOOKUP(B14,TabelaCalculo[],4,FALSE))</f>
        <v/>
      </c>
      <c r="D14" s="4" t="str">
        <f>IF(FORMULÁRIO!$G$8="","",CONCATENATE(VLOOKUP(MONTH(FORMULÁRIO!$G$8),Definições!$A$1:$C$13,2,FALSE),"/",YEAR(FORMULÁRIO!$G$8)))</f>
        <v/>
      </c>
      <c r="E14" s="4" t="str">
        <f>IF(D14="","",VLOOKUP(D14,TabelaCalculo[],4,FALSE))</f>
        <v/>
      </c>
    </row>
    <row r="15" spans="1:5" x14ac:dyDescent="0.25">
      <c r="A15" s="4">
        <v>49</v>
      </c>
      <c r="B15" s="4" t="str">
        <f>IF(FORMULÁRIO!M53="","",CONCATENATE(VLOOKUP(MONTH(FORMULÁRIO!M53),Definições!$A$1:$C$13,2,FALSE),"/",YEAR(FORMULÁRIO!M53)))</f>
        <v/>
      </c>
      <c r="C15" s="6" t="str">
        <f>IF(B15="","",VLOOKUP(B15,TabelaCalculo[],4,FALSE))</f>
        <v/>
      </c>
      <c r="D15" s="4" t="str">
        <f>IF(FORMULÁRIO!$G$8="","",CONCATENATE(VLOOKUP(MONTH(FORMULÁRIO!$G$8),Definições!$A$1:$C$13,2,FALSE),"/",YEAR(FORMULÁRIO!$G$8)))</f>
        <v/>
      </c>
      <c r="E15" s="4" t="str">
        <f>IF(D15="","",VLOOKUP(D15,TabelaCalculo[],4,FALSE))</f>
        <v/>
      </c>
    </row>
    <row r="16" spans="1:5" x14ac:dyDescent="0.25">
      <c r="A16" s="4">
        <v>51</v>
      </c>
      <c r="B16" s="4" t="str">
        <f>IF(FORMULÁRIO!M55="","",CONCATENATE(VLOOKUP(MONTH(FORMULÁRIO!M55),Definições!$A$1:$C$13,2,FALSE),"/",YEAR(FORMULÁRIO!M55)))</f>
        <v/>
      </c>
      <c r="C16" s="6" t="str">
        <f>IF(B16="","",VLOOKUP(B16,TabelaCalculo[],4,FALSE))</f>
        <v/>
      </c>
      <c r="D16" s="4" t="str">
        <f>IF(FORMULÁRIO!$G$8="","",CONCATENATE(VLOOKUP(MONTH(FORMULÁRIO!$G$8),Definições!$A$1:$C$13,2,FALSE),"/",YEAR(FORMULÁRIO!$G$8)))</f>
        <v/>
      </c>
      <c r="E16" s="4" t="str">
        <f>IF(D16="","",VLOOKUP(D16,TabelaCalculo[],4,FALSE))</f>
        <v/>
      </c>
    </row>
    <row r="17" spans="1:5" x14ac:dyDescent="0.25">
      <c r="A17" s="4">
        <v>53</v>
      </c>
      <c r="B17" s="4" t="str">
        <f>IF(FORMULÁRIO!M57="","",CONCATENATE(VLOOKUP(MONTH(FORMULÁRIO!M57),Definições!$A$1:$C$13,2,FALSE),"/",YEAR(FORMULÁRIO!M57)))</f>
        <v/>
      </c>
      <c r="C17" s="6" t="str">
        <f>IF(B17="","",VLOOKUP(B17,TabelaCalculo[],4,FALSE))</f>
        <v/>
      </c>
      <c r="D17" s="4" t="str">
        <f>IF(FORMULÁRIO!$G$8="","",CONCATENATE(VLOOKUP(MONTH(FORMULÁRIO!$G$8),Definições!$A$1:$C$13,2,FALSE),"/",YEAR(FORMULÁRIO!$G$8)))</f>
        <v/>
      </c>
      <c r="E17" s="4" t="str">
        <f>IF(D17="","",VLOOKUP(D17,TabelaCalculo[],4,FALSE))</f>
        <v/>
      </c>
    </row>
    <row r="18" spans="1:5" x14ac:dyDescent="0.25">
      <c r="A18" s="4">
        <v>55</v>
      </c>
      <c r="B18" s="4" t="str">
        <f>IF(FORMULÁRIO!M59="","",CONCATENATE(VLOOKUP(MONTH(FORMULÁRIO!M59),Definições!$A$1:$C$13,2,FALSE),"/",YEAR(FORMULÁRIO!M59)))</f>
        <v/>
      </c>
      <c r="C18" s="6" t="str">
        <f>IF(B18="","",VLOOKUP(B18,TabelaCalculo[],4,FALSE))</f>
        <v/>
      </c>
      <c r="D18" s="4" t="str">
        <f>IF(FORMULÁRIO!$G$8="","",CONCATENATE(VLOOKUP(MONTH(FORMULÁRIO!$G$8),Definições!$A$1:$C$13,2,FALSE),"/",YEAR(FORMULÁRIO!$G$8)))</f>
        <v/>
      </c>
      <c r="E18" s="4" t="str">
        <f>IF(D18="","",VLOOKUP(D18,TabelaCalculo[],4,FALSE))</f>
        <v/>
      </c>
    </row>
    <row r="19" spans="1:5" x14ac:dyDescent="0.25">
      <c r="A19" s="4">
        <v>57</v>
      </c>
      <c r="B19" s="4" t="str">
        <f>IF(FORMULÁRIO!M61="","",CONCATENATE(VLOOKUP(MONTH(FORMULÁRIO!M61),Definições!$A$1:$C$13,2,FALSE),"/",YEAR(FORMULÁRIO!M61)))</f>
        <v/>
      </c>
      <c r="C19" s="6" t="str">
        <f>IF(B19="","",VLOOKUP(B19,TabelaCalculo[],4,FALSE))</f>
        <v/>
      </c>
      <c r="D19" s="4" t="str">
        <f>IF(FORMULÁRIO!$G$8="","",CONCATENATE(VLOOKUP(MONTH(FORMULÁRIO!$G$8),Definições!$A$1:$C$13,2,FALSE),"/",YEAR(FORMULÁRIO!$G$8)))</f>
        <v/>
      </c>
      <c r="E19" s="4" t="str">
        <f>IF(D19="","",VLOOKUP(D19,TabelaCalculo[],4,FALSE))</f>
        <v/>
      </c>
    </row>
    <row r="20" spans="1:5" x14ac:dyDescent="0.25">
      <c r="A20" s="4">
        <v>59</v>
      </c>
      <c r="B20" s="4" t="str">
        <f>IF(FORMULÁRIO!M63="","",CONCATENATE(VLOOKUP(MONTH(FORMULÁRIO!M63),Definições!$A$1:$C$13,2,FALSE),"/",YEAR(FORMULÁRIO!M63)))</f>
        <v/>
      </c>
      <c r="C20" s="6" t="str">
        <f>IF(B20="","",VLOOKUP(B20,TabelaCalculo[],4,FALSE))</f>
        <v/>
      </c>
      <c r="D20" s="4" t="str">
        <f>IF(FORMULÁRIO!$G$8="","",CONCATENATE(VLOOKUP(MONTH(FORMULÁRIO!$G$8),Definições!$A$1:$C$13,2,FALSE),"/",YEAR(FORMULÁRIO!$G$8)))</f>
        <v/>
      </c>
      <c r="E20" s="4" t="str">
        <f>IF(D20="","",VLOOKUP(D20,TabelaCalculo[],4,FALSE))</f>
        <v/>
      </c>
    </row>
    <row r="21" spans="1:5" x14ac:dyDescent="0.25">
      <c r="A21" s="4">
        <v>61</v>
      </c>
      <c r="B21" s="4" t="str">
        <f>IF(FORMULÁRIO!M65="","",CONCATENATE(VLOOKUP(MONTH(FORMULÁRIO!M65),Definições!$A$1:$C$13,2,FALSE),"/",YEAR(FORMULÁRIO!M65)))</f>
        <v/>
      </c>
      <c r="C21" s="6" t="str">
        <f>IF(B21="","",VLOOKUP(B21,TabelaCalculo[],4,FALSE))</f>
        <v/>
      </c>
      <c r="D21" s="4" t="str">
        <f>IF(FORMULÁRIO!$G$8="","",CONCATENATE(VLOOKUP(MONTH(FORMULÁRIO!$G$8),Definições!$A$1:$C$13,2,FALSE),"/",YEAR(FORMULÁRIO!$G$8)))</f>
        <v/>
      </c>
      <c r="E21" s="4" t="str">
        <f>IF(D21="","",VLOOKUP(D21,TabelaCalculo[],4,FALSE))</f>
        <v/>
      </c>
    </row>
    <row r="22" spans="1:5" x14ac:dyDescent="0.25">
      <c r="A22" s="4">
        <v>63</v>
      </c>
      <c r="B22" s="4" t="str">
        <f>IF(FORMULÁRIO!M67="","",CONCATENATE(VLOOKUP(MONTH(FORMULÁRIO!M67),Definições!$A$1:$C$13,2,FALSE),"/",YEAR(FORMULÁRIO!M67)))</f>
        <v/>
      </c>
      <c r="C22" s="6" t="str">
        <f>IF(B22="","",VLOOKUP(B22,TabelaCalculo[],4,FALSE))</f>
        <v/>
      </c>
      <c r="D22" s="4" t="str">
        <f>IF(FORMULÁRIO!$G$8="","",CONCATENATE(VLOOKUP(MONTH(FORMULÁRIO!$G$8),Definições!$A$1:$C$13,2,FALSE),"/",YEAR(FORMULÁRIO!$G$8)))</f>
        <v/>
      </c>
      <c r="E22" s="4" t="str">
        <f>IF(D22="","",VLOOKUP(D22,TabelaCalculo[],4,FALSE))</f>
        <v/>
      </c>
    </row>
    <row r="23" spans="1:5" x14ac:dyDescent="0.25">
      <c r="A23" s="4">
        <v>65</v>
      </c>
      <c r="B23" s="4" t="str">
        <f>IF(FORMULÁRIO!M69="","",CONCATENATE(VLOOKUP(MONTH(FORMULÁRIO!M69),Definições!$A$1:$C$13,2,FALSE),"/",YEAR(FORMULÁRIO!M69)))</f>
        <v/>
      </c>
      <c r="C23" s="6" t="str">
        <f>IF(B23="","",VLOOKUP(B23,TabelaCalculo[],4,FALSE))</f>
        <v/>
      </c>
      <c r="D23" s="4" t="str">
        <f>IF(FORMULÁRIO!$G$8="","",CONCATENATE(VLOOKUP(MONTH(FORMULÁRIO!$G$8),Definições!$A$1:$C$13,2,FALSE),"/",YEAR(FORMULÁRIO!$G$8)))</f>
        <v/>
      </c>
      <c r="E23" s="4" t="str">
        <f>IF(D23="","",VLOOKUP(D23,TabelaCalculo[],4,FALSE))</f>
        <v/>
      </c>
    </row>
    <row r="24" spans="1:5" x14ac:dyDescent="0.25">
      <c r="A24" s="4">
        <v>67</v>
      </c>
      <c r="B24" s="4" t="str">
        <f>IF(FORMULÁRIO!M71="","",CONCATENATE(VLOOKUP(MONTH(FORMULÁRIO!M71),Definições!$A$1:$C$13,2,FALSE),"/",YEAR(FORMULÁRIO!M71)))</f>
        <v/>
      </c>
      <c r="C24" s="6" t="str">
        <f>IF(B24="","",VLOOKUP(B24,TabelaCalculo[],4,FALSE))</f>
        <v/>
      </c>
      <c r="D24" s="4" t="str">
        <f>IF(FORMULÁRIO!$G$8="","",CONCATENATE(VLOOKUP(MONTH(FORMULÁRIO!$G$8),Definições!$A$1:$C$13,2,FALSE),"/",YEAR(FORMULÁRIO!$G$8)))</f>
        <v/>
      </c>
      <c r="E24" s="4" t="str">
        <f>IF(D24="","",VLOOKUP(D24,TabelaCalculo[],4,FALSE))</f>
        <v/>
      </c>
    </row>
    <row r="25" spans="1:5" x14ac:dyDescent="0.25">
      <c r="A25" s="4">
        <v>69</v>
      </c>
      <c r="B25" s="4" t="str">
        <f>IF(FORMULÁRIO!M73="","",CONCATENATE(VLOOKUP(MONTH(FORMULÁRIO!M73),Definições!$A$1:$C$13,2,FALSE),"/",YEAR(FORMULÁRIO!M73)))</f>
        <v/>
      </c>
      <c r="C25" s="6" t="str">
        <f>IF(B25="","",VLOOKUP(B25,TabelaCalculo[],4,FALSE))</f>
        <v/>
      </c>
      <c r="D25" s="4" t="str">
        <f>IF(FORMULÁRIO!$G$8="","",CONCATENATE(VLOOKUP(MONTH(FORMULÁRIO!$G$8),Definições!$A$1:$C$13,2,FALSE),"/",YEAR(FORMULÁRIO!$G$8)))</f>
        <v/>
      </c>
      <c r="E25" s="4" t="str">
        <f>IF(D25="","",VLOOKUP(D25,TabelaCalculo[],4,FALSE))</f>
        <v/>
      </c>
    </row>
  </sheetData>
  <sheetProtection formatRows="0"/>
  <mergeCells count="3">
    <mergeCell ref="B1:E1"/>
    <mergeCell ref="B5:E5"/>
    <mergeCell ref="A9:E9"/>
  </mergeCells>
  <conditionalFormatting sqref="A11:E25">
    <cfRule type="expression" dxfId="0" priority="1">
      <formula>$B11=""</formula>
    </cfRule>
  </conditionalFormatting>
  <pageMargins left="0.511811024" right="0.511811024" top="0.78740157499999996" bottom="0.78740157499999996" header="0.31496062000000002" footer="0.31496062000000002"/>
  <ignoredErrors>
    <ignoredError sqref="D11:D2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3"/>
  <sheetViews>
    <sheetView workbookViewId="0">
      <selection activeCell="E6" sqref="E6"/>
    </sheetView>
  </sheetViews>
  <sheetFormatPr defaultRowHeight="15" x14ac:dyDescent="0.25"/>
  <cols>
    <col min="1" max="3" width="8.85546875" style="4"/>
    <col min="5" max="5" width="10.7109375" bestFit="1" customWidth="1"/>
    <col min="6" max="10" width="7.7109375" customWidth="1"/>
    <col min="11" max="11" width="10.5703125" customWidth="1"/>
  </cols>
  <sheetData>
    <row r="1" spans="1:11" x14ac:dyDescent="0.25">
      <c r="A1" s="7" t="s">
        <v>48</v>
      </c>
      <c r="B1" s="176" t="s">
        <v>34</v>
      </c>
      <c r="C1" s="176"/>
      <c r="E1" s="7" t="s">
        <v>49</v>
      </c>
      <c r="F1" s="176" t="s">
        <v>50</v>
      </c>
      <c r="G1" s="176"/>
      <c r="H1" s="176" t="s">
        <v>51</v>
      </c>
      <c r="I1" s="176"/>
      <c r="J1" s="7" t="s">
        <v>33</v>
      </c>
      <c r="K1" s="7" t="s">
        <v>32</v>
      </c>
    </row>
    <row r="2" spans="1:11" x14ac:dyDescent="0.25">
      <c r="A2" s="4">
        <v>1</v>
      </c>
      <c r="B2" s="4" t="s">
        <v>36</v>
      </c>
      <c r="C2" s="8">
        <v>44562</v>
      </c>
      <c r="E2" s="9">
        <f ca="1">TODAY()</f>
        <v>46310</v>
      </c>
      <c r="F2" s="4">
        <f ca="1">MONTH(E2)</f>
        <v>10</v>
      </c>
      <c r="G2" s="4" t="str">
        <f ca="1">VLOOKUP(F2,A2:B13,2,FALSE)</f>
        <v>OUT</v>
      </c>
      <c r="H2" s="4">
        <f ca="1">F2-1</f>
        <v>9</v>
      </c>
      <c r="I2" s="4" t="str">
        <f ca="1">VLOOKUP(H2,A2:B13,2,FALSE)</f>
        <v>SET</v>
      </c>
      <c r="J2" s="4">
        <f ca="1">YEAR(E2)</f>
        <v>2026</v>
      </c>
      <c r="K2" s="4" t="str">
        <f ca="1">CONCATENATE(I2,"/",J2)</f>
        <v>SET/2026</v>
      </c>
    </row>
    <row r="3" spans="1:11" x14ac:dyDescent="0.25">
      <c r="A3" s="4">
        <v>2</v>
      </c>
      <c r="B3" s="4" t="s">
        <v>37</v>
      </c>
      <c r="C3" s="8">
        <v>44593</v>
      </c>
    </row>
    <row r="4" spans="1:11" x14ac:dyDescent="0.25">
      <c r="A4" s="4">
        <v>3</v>
      </c>
      <c r="B4" s="4" t="s">
        <v>38</v>
      </c>
      <c r="C4" s="8">
        <v>44621</v>
      </c>
    </row>
    <row r="5" spans="1:11" x14ac:dyDescent="0.25">
      <c r="A5" s="4">
        <v>4</v>
      </c>
      <c r="B5" s="4" t="s">
        <v>39</v>
      </c>
      <c r="C5" s="8">
        <v>44652</v>
      </c>
    </row>
    <row r="6" spans="1:11" x14ac:dyDescent="0.25">
      <c r="A6" s="4">
        <v>5</v>
      </c>
      <c r="B6" s="4" t="s">
        <v>40</v>
      </c>
      <c r="C6" s="8">
        <v>44682</v>
      </c>
    </row>
    <row r="7" spans="1:11" x14ac:dyDescent="0.25">
      <c r="A7" s="4">
        <v>6</v>
      </c>
      <c r="B7" s="4" t="s">
        <v>41</v>
      </c>
      <c r="C7" s="8">
        <v>44713</v>
      </c>
    </row>
    <row r="8" spans="1:11" x14ac:dyDescent="0.25">
      <c r="A8" s="4">
        <v>7</v>
      </c>
      <c r="B8" s="4" t="s">
        <v>42</v>
      </c>
      <c r="C8" s="8">
        <v>44743</v>
      </c>
    </row>
    <row r="9" spans="1:11" x14ac:dyDescent="0.25">
      <c r="A9" s="4">
        <v>8</v>
      </c>
      <c r="B9" s="4" t="s">
        <v>43</v>
      </c>
      <c r="C9" s="8">
        <v>44774</v>
      </c>
    </row>
    <row r="10" spans="1:11" x14ac:dyDescent="0.25">
      <c r="A10" s="4">
        <v>9</v>
      </c>
      <c r="B10" s="4" t="s">
        <v>44</v>
      </c>
      <c r="C10" s="8">
        <v>44805</v>
      </c>
    </row>
    <row r="11" spans="1:11" x14ac:dyDescent="0.25">
      <c r="A11" s="4">
        <v>10</v>
      </c>
      <c r="B11" s="4" t="s">
        <v>45</v>
      </c>
      <c r="C11" s="8">
        <v>44835</v>
      </c>
    </row>
    <row r="12" spans="1:11" x14ac:dyDescent="0.25">
      <c r="A12" s="4">
        <v>11</v>
      </c>
      <c r="B12" s="4" t="s">
        <v>46</v>
      </c>
      <c r="C12" s="8">
        <v>44866</v>
      </c>
    </row>
    <row r="13" spans="1:11" x14ac:dyDescent="0.25">
      <c r="A13" s="4">
        <v>12</v>
      </c>
      <c r="B13" s="4" t="s">
        <v>47</v>
      </c>
      <c r="C13" s="8">
        <v>44896</v>
      </c>
    </row>
  </sheetData>
  <sheetProtection formatRows="0"/>
  <mergeCells count="3">
    <mergeCell ref="B1:C1"/>
    <mergeCell ref="F1:G1"/>
    <mergeCell ref="H1:I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O12"/>
  <sheetViews>
    <sheetView workbookViewId="0">
      <selection activeCell="C6" sqref="C6"/>
    </sheetView>
  </sheetViews>
  <sheetFormatPr defaultRowHeight="15" x14ac:dyDescent="0.25"/>
  <cols>
    <col min="3" max="3" width="34" bestFit="1" customWidth="1"/>
    <col min="4" max="4" width="14.5703125" customWidth="1"/>
    <col min="5" max="5" width="6.7109375" style="4" customWidth="1"/>
    <col min="7" max="7" width="18.7109375" bestFit="1" customWidth="1"/>
    <col min="8" max="8" width="29" customWidth="1"/>
    <col min="9" max="9" width="7.28515625" customWidth="1"/>
    <col min="10" max="10" width="13.5703125" bestFit="1" customWidth="1"/>
  </cols>
  <sheetData>
    <row r="1" spans="1:15" x14ac:dyDescent="0.25">
      <c r="A1" s="2"/>
      <c r="G1" s="177" t="s">
        <v>52</v>
      </c>
      <c r="H1" s="177"/>
      <c r="I1" s="177"/>
      <c r="J1" s="177"/>
      <c r="L1" s="177" t="s">
        <v>53</v>
      </c>
      <c r="M1" s="177"/>
      <c r="N1" s="177"/>
      <c r="O1" s="177"/>
    </row>
    <row r="2" spans="1:15" x14ac:dyDescent="0.25">
      <c r="A2" s="2" t="s">
        <v>2</v>
      </c>
      <c r="G2" s="2"/>
      <c r="H2" s="2"/>
      <c r="I2" s="5">
        <f>IF(FORMULÁRIO!D41="Outra Forma de Cálculo",1,"")</f>
        <v>1</v>
      </c>
      <c r="J2" s="2" t="str">
        <f>IF(I2=1,"Valor Arbitrado","")</f>
        <v>Valor Arbitrado</v>
      </c>
      <c r="L2" s="2"/>
      <c r="M2" s="2"/>
      <c r="N2" s="5" t="str">
        <f>IF(FORMULÁRIO!I41="Outra Base de Cálculo",1,"")</f>
        <v/>
      </c>
      <c r="O2" s="2" t="str">
        <f>IF(N2=1,"Valor Arbitrado","")</f>
        <v/>
      </c>
    </row>
    <row r="3" spans="1:15" x14ac:dyDescent="0.25">
      <c r="A3" s="2" t="s">
        <v>18</v>
      </c>
      <c r="C3" s="2" t="s">
        <v>54</v>
      </c>
      <c r="D3" s="2" t="b">
        <v>1</v>
      </c>
      <c r="E3" s="5">
        <f>IF(D3=TRUE,1,"")</f>
        <v>1</v>
      </c>
      <c r="G3" s="2" t="s">
        <v>56</v>
      </c>
      <c r="H3" s="5" t="str">
        <f>FORMULÁRIO!D41</f>
        <v>Outra Forma de Cálculo</v>
      </c>
      <c r="I3" s="5">
        <f>IF(I2=1,2,"")</f>
        <v>2</v>
      </c>
      <c r="J3" s="2" t="str">
        <f>IF(I3=2,"Valor da Causa","")</f>
        <v>Valor da Causa</v>
      </c>
      <c r="L3" s="2" t="s">
        <v>57</v>
      </c>
      <c r="M3" s="5"/>
      <c r="N3" s="5" t="str">
        <f>IF(N2=1,2,"")</f>
        <v/>
      </c>
      <c r="O3" s="2" t="str">
        <f>IF(N3=2,"Valor da Causa","")</f>
        <v/>
      </c>
    </row>
    <row r="4" spans="1:15" x14ac:dyDescent="0.25">
      <c r="C4" s="2" t="s">
        <v>55</v>
      </c>
      <c r="D4" s="2" t="b">
        <v>1</v>
      </c>
      <c r="E4" s="5">
        <f>IF(D4=TRUE,1,"")</f>
        <v>1</v>
      </c>
      <c r="G4" s="2" t="s">
        <v>58</v>
      </c>
      <c r="H4" s="1"/>
      <c r="J4" s="70" t="s">
        <v>84</v>
      </c>
      <c r="L4" s="2" t="s">
        <v>59</v>
      </c>
      <c r="M4" s="1"/>
    </row>
    <row r="5" spans="1:15" x14ac:dyDescent="0.25">
      <c r="D5" t="s">
        <v>70</v>
      </c>
      <c r="E5" s="5">
        <f>SUM(E1:E4,E6:E8)</f>
        <v>3</v>
      </c>
      <c r="J5" s="71" t="s">
        <v>83</v>
      </c>
    </row>
    <row r="6" spans="1:15" x14ac:dyDescent="0.25">
      <c r="B6" s="5">
        <v>2</v>
      </c>
      <c r="C6" s="2" t="s">
        <v>86</v>
      </c>
      <c r="D6" s="2" t="b">
        <f>IF(B$6=1,TRUE,FALSE)</f>
        <v>0</v>
      </c>
      <c r="E6" s="5" t="str">
        <f>IF(D6=TRUE,1,"")</f>
        <v/>
      </c>
    </row>
    <row r="7" spans="1:15" x14ac:dyDescent="0.25">
      <c r="C7" s="2" t="s">
        <v>88</v>
      </c>
      <c r="D7" s="2" t="b">
        <f>IF(B$6=2,TRUE,FALSE)</f>
        <v>1</v>
      </c>
      <c r="E7" s="5">
        <f>IF(D7=TRUE,1,"")</f>
        <v>1</v>
      </c>
      <c r="G7" s="177" t="s">
        <v>60</v>
      </c>
      <c r="H7" s="177"/>
      <c r="I7" s="177"/>
      <c r="J7" s="177"/>
      <c r="L7" s="177" t="s">
        <v>53</v>
      </c>
      <c r="M7" s="177"/>
      <c r="N7" s="177"/>
      <c r="O7" s="177"/>
    </row>
    <row r="8" spans="1:15" x14ac:dyDescent="0.25">
      <c r="C8" s="2" t="s">
        <v>87</v>
      </c>
      <c r="D8" s="2" t="b">
        <f>IF(B$6=3,TRUE,FALSE)</f>
        <v>0</v>
      </c>
      <c r="E8" s="5" t="str">
        <f>IF(D8=TRUE,1,"")</f>
        <v/>
      </c>
      <c r="G8" s="2"/>
      <c r="H8" s="2"/>
      <c r="I8" s="5" t="str">
        <f>IF(FORMULÁRIO!D47="Outra Forma de Cálculo",1,"")</f>
        <v/>
      </c>
      <c r="J8" s="2" t="str">
        <f>IF(I8=1,"Valor Arbitrado","")</f>
        <v/>
      </c>
      <c r="L8" s="2" t="s">
        <v>97</v>
      </c>
      <c r="M8" s="2"/>
      <c r="N8" s="5" t="str">
        <f>IF(FORMULÁRIO!I47="Outra Base de Cálculo",1,"")</f>
        <v/>
      </c>
      <c r="O8" s="2" t="str">
        <f>IF(N8=1,"Valor Arbitrado","")</f>
        <v/>
      </c>
    </row>
    <row r="9" spans="1:15" x14ac:dyDescent="0.25">
      <c r="C9" s="2" t="s">
        <v>89</v>
      </c>
      <c r="D9" s="2" t="b">
        <f>IF(B$6=4,TRUE,FALSE)</f>
        <v>0</v>
      </c>
      <c r="E9" s="5" t="str">
        <f>IF(D9=TRUE,1,"")</f>
        <v/>
      </c>
      <c r="G9" s="48" t="s">
        <v>61</v>
      </c>
      <c r="H9" s="5"/>
      <c r="I9" s="5" t="str">
        <f>IF(I8=1,2,"")</f>
        <v/>
      </c>
      <c r="J9" s="2" t="str">
        <f>IF(I9=2,"Valor da Causa","")</f>
        <v/>
      </c>
      <c r="L9" s="2" t="s">
        <v>98</v>
      </c>
      <c r="M9" s="5"/>
      <c r="N9" s="5" t="str">
        <f>IF(N8=1,2,"")</f>
        <v/>
      </c>
      <c r="O9" s="2" t="str">
        <f>IF(N9=2,"Valor da Causa","")</f>
        <v/>
      </c>
    </row>
    <row r="10" spans="1:15" x14ac:dyDescent="0.25">
      <c r="D10" t="s">
        <v>69</v>
      </c>
      <c r="E10" s="5">
        <f>SUM(E6:E9)</f>
        <v>1</v>
      </c>
      <c r="G10" s="2" t="s">
        <v>62</v>
      </c>
      <c r="H10" s="5"/>
      <c r="I10" s="5"/>
      <c r="J10" s="2" t="str">
        <f>IF(I10=2,"Valor da Causa","")</f>
        <v/>
      </c>
    </row>
    <row r="11" spans="1:15" x14ac:dyDescent="0.25">
      <c r="G11" s="2" t="s">
        <v>63</v>
      </c>
      <c r="H11" s="5"/>
      <c r="I11" s="5"/>
      <c r="J11" s="2" t="str">
        <f>IF(I11=2,"Valor da Causa","")</f>
        <v/>
      </c>
    </row>
    <row r="12" spans="1:15" x14ac:dyDescent="0.25">
      <c r="G12" s="48" t="s">
        <v>64</v>
      </c>
      <c r="H12" s="5"/>
      <c r="I12" s="5"/>
      <c r="J12" s="2"/>
    </row>
  </sheetData>
  <sheetProtection formatRows="0"/>
  <mergeCells count="4">
    <mergeCell ref="G1:J1"/>
    <mergeCell ref="L1:O1"/>
    <mergeCell ref="G7:J7"/>
    <mergeCell ref="L7:O7"/>
  </mergeCells>
  <phoneticPr fontId="8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6BB88-0F71-43C9-B3BC-53846B858D2C}">
  <sheetPr codeName="Planilha7"/>
  <dimension ref="A1:O12"/>
  <sheetViews>
    <sheetView workbookViewId="0"/>
  </sheetViews>
  <sheetFormatPr defaultRowHeight="15" x14ac:dyDescent="0.25"/>
  <cols>
    <col min="3" max="3" width="34" bestFit="1" customWidth="1"/>
    <col min="4" max="4" width="14.5703125" customWidth="1"/>
    <col min="5" max="5" width="6.7109375" style="4" customWidth="1"/>
    <col min="7" max="7" width="18.7109375" bestFit="1" customWidth="1"/>
    <col min="8" max="8" width="29" customWidth="1"/>
    <col min="9" max="9" width="7.28515625" customWidth="1"/>
    <col min="10" max="10" width="13.5703125" bestFit="1" customWidth="1"/>
  </cols>
  <sheetData>
    <row r="1" spans="1:15" x14ac:dyDescent="0.25">
      <c r="A1" s="2"/>
      <c r="G1" s="177" t="s">
        <v>52</v>
      </c>
      <c r="H1" s="177"/>
      <c r="I1" s="177"/>
      <c r="J1" s="177"/>
      <c r="L1" s="177" t="s">
        <v>53</v>
      </c>
      <c r="M1" s="177"/>
      <c r="N1" s="177"/>
      <c r="O1" s="177"/>
    </row>
    <row r="2" spans="1:15" x14ac:dyDescent="0.25">
      <c r="A2" s="2" t="s">
        <v>2</v>
      </c>
      <c r="G2" s="2"/>
      <c r="H2" s="2"/>
      <c r="I2" s="5">
        <f>IF(FORMULÁRIO!D41="Outra Forma de Cálculo",1,"")</f>
        <v>1</v>
      </c>
      <c r="J2" s="2" t="str">
        <f>IF(I2=1,"Valor Arbitrado","")</f>
        <v>Valor Arbitrado</v>
      </c>
      <c r="L2" s="2"/>
      <c r="M2" s="2"/>
      <c r="N2" s="5" t="str">
        <f>IF(FORMULÁRIO!I41="Outra Base de Cálculo",1,"")</f>
        <v/>
      </c>
      <c r="O2" s="2" t="str">
        <f>IF(N2=1,"Valor Arbitrado","")</f>
        <v/>
      </c>
    </row>
    <row r="3" spans="1:15" x14ac:dyDescent="0.25">
      <c r="A3" s="2" t="s">
        <v>18</v>
      </c>
      <c r="C3" s="2" t="s">
        <v>54</v>
      </c>
      <c r="D3" s="2" t="b">
        <v>1</v>
      </c>
      <c r="E3" s="5">
        <f>IF('PLANILHA ONLINE'!G5="sim",1,"")</f>
        <v>1</v>
      </c>
      <c r="G3" s="2" t="s">
        <v>56</v>
      </c>
      <c r="H3" s="5" t="str">
        <f>FORMULÁRIO!D41</f>
        <v>Outra Forma de Cálculo</v>
      </c>
      <c r="I3" s="5">
        <f>IF(I2=1,2,"")</f>
        <v>2</v>
      </c>
      <c r="J3" s="2" t="str">
        <f>IF(I3=2,"Valor da Causa","")</f>
        <v>Valor da Causa</v>
      </c>
      <c r="L3" s="2" t="s">
        <v>57</v>
      </c>
      <c r="M3" s="5"/>
      <c r="N3" s="5" t="str">
        <f>IF(N2=1,2,"")</f>
        <v/>
      </c>
      <c r="O3" s="2" t="str">
        <f>IF(N3=2,"Valor da Causa","")</f>
        <v/>
      </c>
    </row>
    <row r="4" spans="1:15" x14ac:dyDescent="0.25">
      <c r="C4" s="2" t="s">
        <v>55</v>
      </c>
      <c r="D4" s="2" t="b">
        <v>1</v>
      </c>
      <c r="E4" s="5">
        <f>IF('PLANILHA ONLINE'!P5="sim",1,"")</f>
        <v>1</v>
      </c>
      <c r="G4" s="2" t="s">
        <v>58</v>
      </c>
      <c r="H4" s="1"/>
      <c r="J4" s="70" t="s">
        <v>84</v>
      </c>
      <c r="L4" s="2" t="s">
        <v>59</v>
      </c>
      <c r="M4" s="1"/>
    </row>
    <row r="5" spans="1:15" x14ac:dyDescent="0.25">
      <c r="D5" t="s">
        <v>70</v>
      </c>
      <c r="E5" s="5">
        <f>SUM(E1:E4,E6:E8)</f>
        <v>3</v>
      </c>
      <c r="J5" s="71" t="s">
        <v>83</v>
      </c>
    </row>
    <row r="6" spans="1:15" x14ac:dyDescent="0.25">
      <c r="B6" s="5">
        <f>SUMPRODUCT(E6:E9,F6:F9)</f>
        <v>2</v>
      </c>
      <c r="C6" s="2" t="s">
        <v>86</v>
      </c>
      <c r="D6" s="2" t="b">
        <f>IF('PLANILHA ONLINE'!$G$3=C6,TRUE,FALSE)</f>
        <v>0</v>
      </c>
      <c r="E6" s="5" t="str">
        <f>IF(D6=TRUE,1,"")</f>
        <v/>
      </c>
      <c r="F6" s="75">
        <v>1</v>
      </c>
    </row>
    <row r="7" spans="1:15" x14ac:dyDescent="0.25">
      <c r="C7" s="2" t="s">
        <v>88</v>
      </c>
      <c r="D7" s="2" t="b">
        <f>IF('PLANILHA ONLINE'!$G$3=C7,TRUE,FALSE)</f>
        <v>1</v>
      </c>
      <c r="E7" s="5">
        <f>IF(D7=TRUE,1,"")</f>
        <v>1</v>
      </c>
      <c r="F7" s="75">
        <v>2</v>
      </c>
      <c r="G7" s="177" t="s">
        <v>60</v>
      </c>
      <c r="H7" s="177"/>
      <c r="I7" s="177"/>
      <c r="J7" s="177"/>
      <c r="L7" t="s">
        <v>93</v>
      </c>
    </row>
    <row r="8" spans="1:15" x14ac:dyDescent="0.25">
      <c r="C8" s="2" t="s">
        <v>87</v>
      </c>
      <c r="D8" s="2" t="b">
        <f>IF('PLANILHA ONLINE'!$G$3=C8,TRUE,FALSE)</f>
        <v>0</v>
      </c>
      <c r="E8" s="5" t="str">
        <f>IF(D8=TRUE,1,"")</f>
        <v/>
      </c>
      <c r="F8" s="75">
        <v>3</v>
      </c>
      <c r="G8" s="2"/>
      <c r="H8" s="2"/>
      <c r="I8" s="5" t="str">
        <f>IF(FORMULÁRIO!D47="Outra Forma de Cálculo",1,"")</f>
        <v/>
      </c>
      <c r="J8" s="2" t="str">
        <f>IF(I8=1,"Valor Arbitrado","")</f>
        <v/>
      </c>
      <c r="L8" t="s">
        <v>94</v>
      </c>
    </row>
    <row r="9" spans="1:15" x14ac:dyDescent="0.25">
      <c r="C9" s="2" t="s">
        <v>89</v>
      </c>
      <c r="D9" s="2" t="b">
        <f>IF('PLANILHA ONLINE'!$G$3=C9,TRUE,FALSE)</f>
        <v>0</v>
      </c>
      <c r="E9" s="5" t="str">
        <f>IF(D9=TRUE,1,"")</f>
        <v/>
      </c>
      <c r="F9" s="75">
        <v>4</v>
      </c>
      <c r="G9" s="48" t="s">
        <v>61</v>
      </c>
      <c r="H9" s="5"/>
      <c r="I9" s="5" t="str">
        <f>IF(I8=1,2,"")</f>
        <v/>
      </c>
      <c r="J9" s="2" t="str">
        <f>IF(I9=2,"Valor da Causa","")</f>
        <v/>
      </c>
    </row>
    <row r="10" spans="1:15" x14ac:dyDescent="0.25">
      <c r="D10" t="s">
        <v>69</v>
      </c>
      <c r="E10" s="5">
        <f>SUM(E6:E9)</f>
        <v>1</v>
      </c>
      <c r="G10" s="2" t="s">
        <v>62</v>
      </c>
      <c r="H10" s="5"/>
      <c r="I10" s="5"/>
      <c r="J10" s="2" t="str">
        <f>IF(I10=2,"Valor da Causa","")</f>
        <v/>
      </c>
    </row>
    <row r="11" spans="1:15" x14ac:dyDescent="0.25">
      <c r="G11" s="2" t="s">
        <v>63</v>
      </c>
      <c r="H11" s="5"/>
      <c r="I11" s="5"/>
      <c r="J11" s="2" t="str">
        <f>IF(I11=2,"Valor da Causa","")</f>
        <v/>
      </c>
    </row>
    <row r="12" spans="1:15" x14ac:dyDescent="0.25">
      <c r="G12" s="48" t="s">
        <v>64</v>
      </c>
      <c r="H12" s="5"/>
      <c r="I12" s="5"/>
      <c r="J12" s="2"/>
    </row>
  </sheetData>
  <sheetProtection formatRows="0"/>
  <mergeCells count="3">
    <mergeCell ref="G1:J1"/>
    <mergeCell ref="L1:O1"/>
    <mergeCell ref="G7:J7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15C600-2847-4BBA-A628-CB4CA73A1D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FORMULÁRIO</vt:lpstr>
      <vt:lpstr>PLANILHA ONLINE</vt:lpstr>
      <vt:lpstr>ÍNDICES</vt:lpstr>
      <vt:lpstr>Fórmulas</vt:lpstr>
      <vt:lpstr>Definições</vt:lpstr>
      <vt:lpstr>Menus</vt:lpstr>
      <vt:lpstr>Menus_Online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Marcus Feiler</dc:creator>
  <cp:keywords/>
  <dc:description/>
  <cp:lastModifiedBy>MARCELO AUGUSTO DE SOUZA NEVES</cp:lastModifiedBy>
  <cp:revision/>
  <cp:lastPrinted>2025-06-17T19:16:39Z</cp:lastPrinted>
  <dcterms:created xsi:type="dcterms:W3CDTF">2022-05-31T12:35:51Z</dcterms:created>
  <dcterms:modified xsi:type="dcterms:W3CDTF">2026-10-15T19:39:51Z</dcterms:modified>
  <cp:category/>
  <cp:contentStatus/>
</cp:coreProperties>
</file>